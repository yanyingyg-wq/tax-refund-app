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sales contract" sheetId="2" r:id="rId1"/>
  </sheets>
  <definedNames>
    <definedName name="_xlnm._FilterDatabase" localSheetId="0" hidden="1">'sales contract'!$A$12:$X$19</definedName>
    <definedName name="body">#REF!</definedName>
    <definedName name="body" localSheetId="0">'sales contract'!#REF!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<sst xmlns="http://schemas.openxmlformats.org/spreadsheetml/2006/main" count="71" uniqueCount="68">
  <si>
    <t xml:space="preserve">                Guangzhou Lion Claw Network Technology Co., Ltd.</t>
  </si>
  <si>
    <t xml:space="preserve">                Add: Room 611,612, No. 20, Huanxi West Road, Tianhe District, Guangzhou,China</t>
  </si>
  <si>
    <t>Proforma Invoice</t>
  </si>
  <si>
    <t>Buyer: HONGKONG DONGZHAO COMMERCE CO.,LIMITED</t>
  </si>
  <si>
    <t xml:space="preserve">Seller: </t>
  </si>
  <si>
    <t>Guangzhou Lion Claw Network Technology Co., Ltd.</t>
  </si>
  <si>
    <t>Add.: ROOM 1006, 10/F., PO YIP BUILDING, 23 HING YIP STREET, KWUN TONG, KOWLOON, HONG KONG</t>
  </si>
  <si>
    <t xml:space="preserve">Add.: </t>
  </si>
  <si>
    <t>Room 611-612, No. 20, Huanxi West Road, Tianhe District, Guangzhou,China</t>
  </si>
  <si>
    <t xml:space="preserve">Contact:  </t>
  </si>
  <si>
    <t xml:space="preserve"> ZEPENG KANG</t>
  </si>
  <si>
    <t>Contact:</t>
  </si>
  <si>
    <t>Xiaobiao Kang</t>
  </si>
  <si>
    <t xml:space="preserve">Email: </t>
  </si>
  <si>
    <t>373174403@qq.com</t>
  </si>
  <si>
    <t>Tel.13727995776</t>
  </si>
  <si>
    <t>Tel.</t>
  </si>
  <si>
    <t>13433701174</t>
  </si>
  <si>
    <t>Tax ID:76632835-000</t>
  </si>
  <si>
    <t>Contract No: GZSZ-2025112601，GZSZ-2025112602，GZSZ-2025112603</t>
  </si>
  <si>
    <t>System Code</t>
  </si>
  <si>
    <t>Barcode</t>
  </si>
  <si>
    <t>Model No.</t>
  </si>
  <si>
    <t xml:space="preserve">Item Description </t>
  </si>
  <si>
    <t>Product Picture</t>
  </si>
  <si>
    <t>Packing</t>
  </si>
  <si>
    <t>Color</t>
  </si>
  <si>
    <t>Qty(PCS)</t>
  </si>
  <si>
    <t>Price</t>
  </si>
  <si>
    <t>L</t>
  </si>
  <si>
    <t>W</t>
  </si>
  <si>
    <t>H</t>
  </si>
  <si>
    <t>PCS/CTN</t>
  </si>
  <si>
    <t>CBM (m³)</t>
  </si>
  <si>
    <t>Amount</t>
  </si>
  <si>
    <t>PI No.</t>
  </si>
  <si>
    <t>Planning order No.</t>
  </si>
  <si>
    <t>GW(kgs)</t>
  </si>
  <si>
    <t>Total GW(kgs)</t>
  </si>
  <si>
    <t>备注</t>
  </si>
  <si>
    <t>Toothbrush rack</t>
  </si>
  <si>
    <t>3924900000</t>
  </si>
  <si>
    <t>Storage rack</t>
  </si>
  <si>
    <t>3926909090</t>
  </si>
  <si>
    <t>Medicine box</t>
  </si>
  <si>
    <t>TOTAL:</t>
  </si>
  <si>
    <t>BALANCE:</t>
  </si>
  <si>
    <t>★ Brand:</t>
  </si>
  <si>
    <t>Shippment details:</t>
  </si>
  <si>
    <t>By sea</t>
  </si>
  <si>
    <t>★ Trade Term: FOB （After the goods are shipped, the risk of the goods is transferred, and the buyer shall bear the sea freight, insurance and other related expenses after leaving the country）</t>
  </si>
  <si>
    <t>Consignee:</t>
  </si>
  <si>
    <t xml:space="preserve">★ Payment Terms: </t>
  </si>
  <si>
    <t>Notify party:</t>
  </si>
  <si>
    <t xml:space="preserve">★ Production Time: </t>
  </si>
  <si>
    <t>Port of discharge:</t>
  </si>
  <si>
    <t>★ Shipment Mode: By sea</t>
  </si>
  <si>
    <t>Final destination:</t>
  </si>
  <si>
    <t xml:space="preserve">★ Bank informaiton: </t>
  </si>
  <si>
    <t>Remark:</t>
  </si>
  <si>
    <t>Beneficiary: Guangzhou Lion Claw Network Technology Co., Ltd.</t>
  </si>
  <si>
    <t>Beneficiary Address:Room 611-612, No. 20, Huanxi West Road, Tianhe District, Guangzhou,China</t>
  </si>
  <si>
    <t>Beneficiary's Bank: BANK OF CHINA GUANGZHOU NANGUO GARDEN SUB-BRANCH</t>
  </si>
  <si>
    <t>Bank Address: SHOP1-2,NO1-7,NANGUO 1STREET,PINGYUE ROAD,PEARL RIVER NEW TOWN,TIANHE DISTRICT,GUANGZHOU,CHINA</t>
  </si>
  <si>
    <t>Account No: 637974294993</t>
  </si>
  <si>
    <t xml:space="preserve">Swift Code: BKCHCNBJ42A </t>
  </si>
  <si>
    <t>Tax ID: 91440101MA9W5WJ16G</t>
  </si>
  <si>
    <r>
      <rPr>
        <sz val="11"/>
        <rFont val="微软雅黑"/>
        <charset val="134"/>
      </rPr>
      <t xml:space="preserve">★ Special Terms:
1. The fluctuation of US Dollar depends on daily Exchange Rate from Bank of China. Seller owns the right to change the unit price accordingly if the exchange rate from US Dollar to CNY decreases as much as 1.5% before the deposit arrival;
2.  The buyer needs to send package artwork files to seller within 15 working days after the order confirmation; After the deadline, the order will be queued up again and the material might be used by other orders after receipt of notcie from seller.;
3. The Seller shall give the buyer a loading notice at least 7 working days in advance and the buyer needs to arrange shipment within 30 days after the goods are ready. The buyer shall pay the buyer a storage fee of 0.05% of the total value of the goods per day if exceeds the due date; 
4. If the buyer fails to arrange delivery more than two months after goods ready notice sent by seller, the seller has the right to retain the advance payment and sell the goods to others;
5. All disputes should be referred to the Foreign Trade Arbitration Commission of the China Council for the Promotion of International Trade if unsettled by friendly negotiation.
                                      </t>
    </r>
    <r>
      <rPr>
        <b/>
        <sz val="11"/>
        <rFont val="微软雅黑"/>
        <charset val="134"/>
      </rPr>
      <t xml:space="preserve">                             Buyer:                                                                                                                                                                                           Seller: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</si>
</sst>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00;\¥\-#,##0.00"/>
    <numFmt numFmtId="178" formatCode="&quot;￥&quot;#,##0.00_);[Red]\(&quot;￥&quot;#,##0.00\)"/>
    <numFmt numFmtId="179" formatCode="#,##0.00_);[Red]\(#,##0.00\)"/>
    <numFmt numFmtId="180" formatCode="#,##0_ "/>
    <numFmt numFmtId="181" formatCode="0.00_ "/>
    <numFmt numFmtId="182" formatCode="[$CNY]\ #,##0.00;[$CNY]\ \-#,##0.00"/>
    <numFmt numFmtId="183" formatCode="yyyy/m/d;@"/>
    <numFmt numFmtId="184" formatCode="0.00_);[Red]\(0.00\)"/>
  </numFmts>
  <fonts count="41">
    <font>
      <sz val="12"/>
      <name val="宋体"/>
      <charset val="134"/>
    </font>
    <font>
      <b/>
      <sz val="12"/>
      <name val="Arial Unicode MS"/>
      <charset val="134"/>
    </font>
    <font>
      <sz val="10"/>
      <name val="Arial Unicode MS"/>
      <charset val="134"/>
    </font>
    <font>
      <b/>
      <sz val="24"/>
      <name val="微软雅黑"/>
      <charset val="134"/>
    </font>
    <font>
      <sz val="10"/>
      <name val="微软雅黑"/>
      <charset val="134"/>
    </font>
    <font>
      <sz val="9"/>
      <name val="微软雅黑"/>
      <charset val="134"/>
    </font>
    <font>
      <b/>
      <sz val="20"/>
      <name val="微软雅黑"/>
      <charset val="134"/>
    </font>
    <font>
      <sz val="9"/>
      <name val="宋体"/>
      <charset val="134"/>
    </font>
    <font>
      <sz val="8"/>
      <name val="Tahoma"/>
      <charset val="134"/>
    </font>
    <font>
      <sz val="10"/>
      <color theme="1"/>
      <name val="微软雅黑"/>
      <charset val="134"/>
    </font>
    <font>
      <u/>
      <sz val="11"/>
      <color rgb="FF0000FF"/>
      <name val="宋体"/>
      <charset val="134"/>
      <scheme val="minor"/>
    </font>
    <font>
      <u/>
      <sz val="10"/>
      <color rgb="FF800080"/>
      <name val="宋体"/>
      <charset val="134"/>
      <scheme val="minor"/>
    </font>
    <font>
      <u/>
      <sz val="10"/>
      <color rgb="FF800080"/>
      <name val="微软雅黑"/>
      <charset val="134"/>
    </font>
    <font>
      <sz val="10"/>
      <name val="宋体"/>
      <charset val="134"/>
    </font>
    <font>
      <b/>
      <sz val="9"/>
      <name val="微软雅黑"/>
      <charset val="134"/>
    </font>
    <font>
      <sz val="11"/>
      <name val="Arial Unicode MS"/>
      <charset val="134"/>
    </font>
    <font>
      <sz val="12"/>
      <color theme="1"/>
      <name val="宋体"/>
      <charset val="134"/>
      <scheme val="minor"/>
    </font>
    <font>
      <sz val="11"/>
      <name val="宋体"/>
      <charset val="134"/>
    </font>
    <font>
      <sz val="11"/>
      <name val="微软雅黑"/>
      <charset val="134"/>
    </font>
    <font>
      <b/>
      <sz val="10"/>
      <name val="微软雅黑"/>
      <charset val="134"/>
    </font>
    <font>
      <b/>
      <sz val="8"/>
      <name val="微软雅黑"/>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0"/>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10"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1" fillId="2" borderId="13"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4" applyNumberFormat="0" applyFill="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8" fillId="0" borderId="0" applyNumberFormat="0" applyFill="0" applyBorder="0" applyAlignment="0" applyProtection="0">
      <alignment vertical="center"/>
    </xf>
    <xf numFmtId="0" fontId="29" fillId="3" borderId="16" applyNumberFormat="0" applyAlignment="0" applyProtection="0">
      <alignment vertical="center"/>
    </xf>
    <xf numFmtId="0" fontId="30" fillId="4" borderId="17" applyNumberFormat="0" applyAlignment="0" applyProtection="0">
      <alignment vertical="center"/>
    </xf>
    <xf numFmtId="0" fontId="31" fillId="4" borderId="16" applyNumberFormat="0" applyAlignment="0" applyProtection="0">
      <alignment vertical="center"/>
    </xf>
    <xf numFmtId="0" fontId="32" fillId="5" borderId="18" applyNumberFormat="0" applyAlignment="0" applyProtection="0">
      <alignment vertical="center"/>
    </xf>
    <xf numFmtId="0" fontId="33" fillId="0" borderId="19" applyNumberFormat="0" applyFill="0" applyAlignment="0" applyProtection="0">
      <alignment vertical="center"/>
    </xf>
    <xf numFmtId="0" fontId="34" fillId="0" borderId="20" applyNumberFormat="0" applyFill="0" applyAlignment="0" applyProtection="0">
      <alignment vertical="center"/>
    </xf>
    <xf numFmtId="0" fontId="35" fillId="6" borderId="0" applyNumberFormat="0" applyBorder="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cellStyleXfs>
  <cellXfs count="100">
    <xf numFmtId="0" fontId="0" fillId="0" borderId="0" xfId="0"/>
    <xf numFmtId="0" fontId="1" fillId="0" borderId="0" xfId="0" applyFont="1" applyFill="1"/>
    <xf numFmtId="0" fontId="2" fillId="0" borderId="0" xfId="0" applyFont="1" applyFill="1"/>
    <xf numFmtId="0" fontId="0" fillId="0" borderId="0" xfId="0" applyFill="1"/>
    <xf numFmtId="0" fontId="0" fillId="0" borderId="0" xfId="0" applyFill="1" applyAlignment="1">
      <alignment horizontal="center" vertical="center"/>
    </xf>
    <xf numFmtId="26" fontId="0" fillId="0" borderId="0" xfId="0" applyNumberFormat="1" applyFill="1"/>
    <xf numFmtId="176" fontId="0" fillId="0" borderId="0" xfId="0" applyNumberFormat="1" applyFill="1" applyAlignment="1">
      <alignment horizontal="center" vertical="center"/>
    </xf>
    <xf numFmtId="177" fontId="0" fillId="0" borderId="0" xfId="0" applyNumberFormat="1" applyFill="1"/>
    <xf numFmtId="49" fontId="3" fillId="0" borderId="0" xfId="0" applyNumberFormat="1" applyFont="1" applyFill="1" applyAlignment="1">
      <alignment horizontal="center" vertical="center"/>
    </xf>
    <xf numFmtId="49" fontId="3" fillId="0" borderId="0" xfId="0" applyNumberFormat="1" applyFont="1" applyFill="1" applyAlignment="1">
      <alignment vertical="center"/>
    </xf>
    <xf numFmtId="49" fontId="4" fillId="0" borderId="0" xfId="0" applyNumberFormat="1" applyFont="1" applyFill="1" applyAlignment="1">
      <alignment horizontal="center" vertical="center"/>
    </xf>
    <xf numFmtId="49" fontId="5" fillId="0" borderId="0" xfId="0" applyNumberFormat="1" applyFont="1" applyFill="1" applyAlignment="1">
      <alignment vertical="center"/>
    </xf>
    <xf numFmtId="49" fontId="6" fillId="0" borderId="0" xfId="0" applyNumberFormat="1" applyFont="1" applyFill="1" applyAlignment="1">
      <alignment horizontal="center" vertical="center"/>
    </xf>
    <xf numFmtId="49" fontId="6" fillId="0" borderId="0" xfId="0" applyNumberFormat="1" applyFont="1" applyFill="1" applyAlignment="1">
      <alignment vertical="center"/>
    </xf>
    <xf numFmtId="49" fontId="7" fillId="0" borderId="0" xfId="0" applyNumberFormat="1" applyFont="1" applyFill="1" applyAlignment="1">
      <alignment horizontal="center" vertical="center"/>
    </xf>
    <xf numFmtId="0" fontId="8" fillId="0" borderId="0" xfId="0" applyFont="1" applyFill="1" applyAlignment="1">
      <alignment horizontal="left" vertical="top"/>
    </xf>
    <xf numFmtId="49" fontId="4" fillId="0" borderId="0" xfId="0" applyNumberFormat="1" applyFont="1" applyFill="1" applyAlignment="1">
      <alignment vertical="center"/>
    </xf>
    <xf numFmtId="49" fontId="9" fillId="0" borderId="0" xfId="0" applyNumberFormat="1" applyFont="1" applyFill="1" applyAlignment="1">
      <alignment vertical="center"/>
    </xf>
    <xf numFmtId="0" fontId="0" fillId="0" borderId="0" xfId="0" applyFont="1" applyFill="1"/>
    <xf numFmtId="0" fontId="0" fillId="0" borderId="0" xfId="0" applyFont="1" applyFill="1" applyAlignment="1">
      <alignment horizontal="center" vertical="center"/>
    </xf>
    <xf numFmtId="49" fontId="4" fillId="0" borderId="0" xfId="0" applyNumberFormat="1" applyFont="1" applyFill="1" applyAlignment="1">
      <alignment horizontal="left" vertical="center"/>
    </xf>
    <xf numFmtId="49" fontId="4" fillId="0" borderId="0" xfId="0" applyNumberFormat="1" applyFont="1" applyFill="1" applyAlignment="1">
      <alignment horizontal="left" vertical="center" wrapText="1"/>
    </xf>
    <xf numFmtId="49" fontId="5" fillId="0" borderId="0" xfId="0" applyNumberFormat="1" applyFont="1" applyFill="1" applyAlignment="1">
      <alignment vertical="center" wrapText="1"/>
    </xf>
    <xf numFmtId="49" fontId="9" fillId="0" borderId="0" xfId="0" applyNumberFormat="1" applyFont="1" applyFill="1" applyAlignment="1">
      <alignment horizontal="left" vertical="center"/>
    </xf>
    <xf numFmtId="49" fontId="4" fillId="0" borderId="0" xfId="0" applyNumberFormat="1" applyFont="1" applyFill="1" applyAlignment="1">
      <alignment horizontal="center" vertical="center" wrapText="1"/>
    </xf>
    <xf numFmtId="49" fontId="10" fillId="0" borderId="0" xfId="6" applyNumberFormat="1" applyFont="1" applyFill="1" applyAlignment="1">
      <alignment horizontal="left" vertical="center"/>
    </xf>
    <xf numFmtId="49" fontId="11" fillId="0" borderId="0" xfId="6" applyNumberFormat="1" applyFont="1" applyFill="1" applyAlignment="1">
      <alignment horizontal="left" vertical="center" wrapText="1"/>
    </xf>
    <xf numFmtId="49" fontId="4" fillId="0" borderId="0" xfId="0" applyNumberFormat="1" applyFont="1" applyFill="1" applyBorder="1" applyAlignment="1">
      <alignment vertical="center"/>
    </xf>
    <xf numFmtId="49" fontId="12" fillId="0" borderId="0" xfId="6" applyNumberFormat="1" applyFont="1" applyFill="1" applyAlignment="1">
      <alignment horizontal="center" vertical="center" wrapText="1"/>
    </xf>
    <xf numFmtId="49" fontId="11" fillId="0" borderId="0" xfId="6" applyNumberFormat="1" applyFont="1" applyFill="1" applyAlignment="1">
      <alignment horizontal="center" vertical="center" wrapText="1"/>
    </xf>
    <xf numFmtId="49" fontId="13" fillId="0" borderId="0" xfId="0" applyNumberFormat="1" applyFont="1" applyFill="1" applyAlignment="1">
      <alignment horizontal="center" vertical="center"/>
    </xf>
    <xf numFmtId="49" fontId="5" fillId="0" borderId="0" xfId="0" applyNumberFormat="1" applyFont="1" applyFill="1" applyAlignment="1">
      <alignment horizontal="left" vertical="center"/>
    </xf>
    <xf numFmtId="49" fontId="14" fillId="0" borderId="1" xfId="0" applyNumberFormat="1" applyFont="1" applyFill="1" applyBorder="1" applyAlignment="1">
      <alignment horizontal="center" vertical="center"/>
    </xf>
    <xf numFmtId="49" fontId="14" fillId="0" borderId="1" xfId="0" applyNumberFormat="1" applyFont="1" applyFill="1" applyBorder="1" applyAlignment="1">
      <alignment horizontal="center" vertical="center" wrapText="1"/>
    </xf>
    <xf numFmtId="0"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6" fillId="0" borderId="1" xfId="0" applyFont="1" applyFill="1" applyBorder="1" applyAlignment="1">
      <alignment horizontal="center" vertical="center"/>
    </xf>
    <xf numFmtId="0" fontId="17" fillId="0" borderId="1" xfId="0" applyFont="1" applyBorder="1"/>
    <xf numFmtId="0" fontId="15" fillId="0" borderId="1" xfId="0" applyFont="1" applyBorder="1" applyAlignment="1">
      <alignment horizontal="center" vertical="center" wrapText="1"/>
    </xf>
    <xf numFmtId="0" fontId="15" fillId="0" borderId="1" xfId="0" applyFont="1" applyFill="1" applyBorder="1" applyAlignment="1">
      <alignment horizontal="center" vertical="center" wrapText="1"/>
    </xf>
    <xf numFmtId="178" fontId="15" fillId="0" borderId="1" xfId="0" applyNumberFormat="1" applyFont="1" applyFill="1" applyBorder="1" applyAlignment="1">
      <alignment horizontal="center" vertical="center"/>
    </xf>
    <xf numFmtId="179" fontId="15" fillId="0" borderId="1" xfId="0" applyNumberFormat="1" applyFont="1" applyFill="1" applyBorder="1" applyAlignment="1">
      <alignment horizontal="center" vertical="center"/>
    </xf>
    <xf numFmtId="180" fontId="15" fillId="0" borderId="1" xfId="0" applyNumberFormat="1" applyFont="1" applyFill="1" applyBorder="1" applyAlignment="1">
      <alignment horizontal="center" vertical="center"/>
    </xf>
    <xf numFmtId="181" fontId="18" fillId="0" borderId="1" xfId="0" applyNumberFormat="1" applyFont="1" applyFill="1" applyBorder="1" applyAlignment="1">
      <alignment horizontal="center" vertical="center" wrapText="1"/>
    </xf>
    <xf numFmtId="182" fontId="15" fillId="0" borderId="1" xfId="0" applyNumberFormat="1" applyFont="1" applyFill="1" applyBorder="1" applyAlignment="1">
      <alignment horizontal="center" vertical="center"/>
    </xf>
    <xf numFmtId="49" fontId="15" fillId="0" borderId="1" xfId="0" applyNumberFormat="1" applyFont="1" applyFill="1" applyBorder="1" applyAlignment="1">
      <alignment horizontal="center" vertical="center"/>
    </xf>
    <xf numFmtId="183" fontId="19" fillId="0" borderId="1" xfId="0" applyNumberFormat="1" applyFont="1" applyFill="1" applyBorder="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center"/>
    </xf>
    <xf numFmtId="49" fontId="19" fillId="0" borderId="1"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182" fontId="0" fillId="0" borderId="0" xfId="0" applyNumberFormat="1" applyFill="1"/>
    <xf numFmtId="180" fontId="19" fillId="0" borderId="2" xfId="0" applyNumberFormat="1" applyFont="1" applyFill="1" applyBorder="1" applyAlignment="1">
      <alignment horizontal="center" vertical="center"/>
    </xf>
    <xf numFmtId="180" fontId="19" fillId="0" borderId="3" xfId="0" applyNumberFormat="1" applyFont="1" applyFill="1" applyBorder="1" applyAlignment="1">
      <alignment horizontal="center" vertical="center"/>
    </xf>
    <xf numFmtId="180" fontId="19"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wrapText="1"/>
    </xf>
    <xf numFmtId="181" fontId="19" fillId="0" borderId="1" xfId="0" applyNumberFormat="1" applyFont="1" applyFill="1" applyBorder="1" applyAlignment="1">
      <alignment horizontal="center" vertical="center"/>
    </xf>
    <xf numFmtId="49" fontId="19" fillId="0" borderId="1" xfId="0" applyNumberFormat="1" applyFont="1" applyFill="1" applyBorder="1" applyAlignment="1">
      <alignment horizontal="right" vertical="center"/>
    </xf>
    <xf numFmtId="182" fontId="19" fillId="0" borderId="1" xfId="0" applyNumberFormat="1" applyFont="1" applyFill="1" applyBorder="1" applyAlignment="1">
      <alignment horizontal="left" vertical="center"/>
    </xf>
    <xf numFmtId="49" fontId="7" fillId="0" borderId="1" xfId="0" applyNumberFormat="1" applyFont="1" applyFill="1" applyBorder="1" applyAlignment="1">
      <alignment horizontal="center" vertic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4" fillId="0" borderId="5" xfId="0" applyFont="1" applyFill="1" applyBorder="1" applyAlignment="1">
      <alignment horizontal="center" vertical="center"/>
    </xf>
    <xf numFmtId="0" fontId="4" fillId="0" borderId="6" xfId="0" applyFont="1" applyFill="1" applyBorder="1" applyAlignment="1">
      <alignment horizontal="left" vertical="center"/>
    </xf>
    <xf numFmtId="0" fontId="4" fillId="0" borderId="3" xfId="0" applyFont="1" applyFill="1" applyBorder="1" applyAlignment="1">
      <alignment horizontal="left" vertical="center"/>
    </xf>
    <xf numFmtId="49" fontId="19" fillId="0" borderId="3" xfId="0" applyNumberFormat="1" applyFont="1" applyFill="1" applyBorder="1" applyAlignment="1">
      <alignment horizontal="center" vertical="center"/>
    </xf>
    <xf numFmtId="0" fontId="4" fillId="0" borderId="7"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8"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center" vertical="center"/>
    </xf>
    <xf numFmtId="0" fontId="4" fillId="0" borderId="7" xfId="0" applyFont="1" applyFill="1" applyBorder="1" applyAlignment="1">
      <alignment vertical="center"/>
    </xf>
    <xf numFmtId="0" fontId="4" fillId="0" borderId="0" xfId="0" applyFont="1" applyFill="1" applyAlignment="1">
      <alignment vertical="center"/>
    </xf>
    <xf numFmtId="0" fontId="4" fillId="0" borderId="0" xfId="0" applyFont="1" applyFill="1" applyAlignment="1">
      <alignment horizontal="center" vertical="center"/>
    </xf>
    <xf numFmtId="0" fontId="4" fillId="0" borderId="8" xfId="0" applyFont="1" applyFill="1" applyBorder="1" applyAlignment="1">
      <alignment vertical="center"/>
    </xf>
    <xf numFmtId="0" fontId="4" fillId="0" borderId="3" xfId="0" applyFont="1" applyFill="1" applyBorder="1" applyAlignment="1">
      <alignment vertical="center"/>
    </xf>
    <xf numFmtId="0" fontId="4" fillId="0" borderId="9"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7" xfId="0" applyFont="1" applyFill="1" applyBorder="1" applyAlignment="1">
      <alignment vertical="center" wrapText="1"/>
    </xf>
    <xf numFmtId="0" fontId="4" fillId="0" borderId="0" xfId="0" applyFont="1" applyFill="1" applyAlignment="1">
      <alignment vertical="center" wrapText="1"/>
    </xf>
    <xf numFmtId="0" fontId="4" fillId="0" borderId="4" xfId="0" applyFont="1" applyFill="1" applyBorder="1" applyAlignment="1">
      <alignment horizontal="left" vertical="top"/>
    </xf>
    <xf numFmtId="0" fontId="4" fillId="0" borderId="6" xfId="0" applyFont="1" applyFill="1" applyBorder="1" applyAlignment="1">
      <alignment horizontal="center" vertical="center"/>
    </xf>
    <xf numFmtId="0" fontId="4" fillId="0" borderId="7" xfId="0" applyFont="1" applyFill="1" applyBorder="1" applyAlignment="1">
      <alignment horizontal="left" vertical="center" wrapText="1"/>
    </xf>
    <xf numFmtId="0" fontId="4" fillId="0" borderId="0" xfId="0" applyFont="1" applyFill="1" applyAlignment="1">
      <alignment horizontal="left" vertical="center" wrapText="1"/>
    </xf>
    <xf numFmtId="0" fontId="4" fillId="0" borderId="8" xfId="0" applyFont="1" applyFill="1" applyBorder="1" applyAlignment="1">
      <alignment horizontal="left" vertical="center" wrapText="1"/>
    </xf>
    <xf numFmtId="0" fontId="4" fillId="0" borderId="7" xfId="0" applyFont="1" applyFill="1" applyBorder="1" applyAlignment="1">
      <alignment horizontal="left" vertical="top"/>
    </xf>
    <xf numFmtId="0" fontId="4" fillId="0" borderId="8" xfId="0" applyFont="1" applyFill="1" applyBorder="1" applyAlignment="1">
      <alignment horizontal="center" vertical="center"/>
    </xf>
    <xf numFmtId="0" fontId="4" fillId="0" borderId="10"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0" xfId="0" applyFont="1" applyFill="1" applyBorder="1" applyAlignment="1">
      <alignment horizontal="left" vertical="top"/>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184" fontId="18" fillId="0" borderId="4" xfId="0" applyNumberFormat="1" applyFont="1" applyFill="1" applyBorder="1" applyAlignment="1">
      <alignment horizontal="left" vertical="center" wrapText="1"/>
    </xf>
    <xf numFmtId="184" fontId="18" fillId="0" borderId="5" xfId="0" applyNumberFormat="1" applyFont="1" applyFill="1" applyBorder="1" applyAlignment="1">
      <alignment horizontal="left" vertical="center" wrapText="1"/>
    </xf>
    <xf numFmtId="49" fontId="20" fillId="0" borderId="6" xfId="0" applyNumberFormat="1" applyFont="1" applyFill="1" applyBorder="1" applyAlignment="1">
      <alignment horizontal="center" vertical="center"/>
    </xf>
    <xf numFmtId="184" fontId="18" fillId="0" borderId="10" xfId="0" applyNumberFormat="1" applyFont="1" applyFill="1" applyBorder="1" applyAlignment="1">
      <alignment horizontal="left" vertical="center" wrapText="1"/>
    </xf>
    <xf numFmtId="184" fontId="18" fillId="0" borderId="11" xfId="0" applyNumberFormat="1" applyFont="1" applyFill="1" applyBorder="1" applyAlignment="1">
      <alignment horizontal="left" vertical="center" wrapText="1"/>
    </xf>
    <xf numFmtId="177" fontId="0" fillId="0" borderId="12" xfId="0" applyNumberForma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17</xdr:row>
      <xdr:rowOff>0</xdr:rowOff>
    </xdr:from>
    <xdr:to>
      <xdr:col>4</xdr:col>
      <xdr:colOff>304800</xdr:colOff>
      <xdr:row>18</xdr:row>
      <xdr:rowOff>74295</xdr:rowOff>
    </xdr:to>
    <xdr:pic>
      <xdr:nvPicPr>
        <xdr:cNvPr id="5" name="图片 4"/>
        <xdr:cNvPicPr>
          <a:picLocks noChangeAspect="1"/>
        </xdr:cNvPicPr>
      </xdr:nvPicPr>
      <xdr:blipFill>
        <a:stretch>
          <a:fillRect/>
        </a:stretch>
      </xdr:blipFill>
      <xdr:spPr>
        <a:xfrm>
          <a:off x="3886200" y="8832215"/>
          <a:ext cx="304800" cy="304800"/>
        </a:xfrm>
        <a:prstGeom prst="rect">
          <a:avLst/>
        </a:prstGeom>
        <a:noFill/>
        <a:ln>
          <a:noFill/>
        </a:ln>
      </xdr:spPr>
    </xdr:pic>
    <xdr:clientData/>
  </xdr:twoCellAnchor>
  <xdr:twoCellAnchor editAs="oneCell">
    <xdr:from>
      <xdr:col>4</xdr:col>
      <xdr:colOff>307975</xdr:colOff>
      <xdr:row>13</xdr:row>
      <xdr:rowOff>125730</xdr:rowOff>
    </xdr:from>
    <xdr:to>
      <xdr:col>4</xdr:col>
      <xdr:colOff>1388110</xdr:colOff>
      <xdr:row>13</xdr:row>
      <xdr:rowOff>1205865</xdr:rowOff>
    </xdr:to>
    <xdr:pic>
      <xdr:nvPicPr>
        <xdr:cNvPr id="6" name="图片 5"/>
        <xdr:cNvPicPr/>
      </xdr:nvPicPr>
      <xdr:blipFill>
        <a:blip r:embed="rId1"/>
        <a:stretch>
          <a:fillRect/>
        </a:stretch>
      </xdr:blipFill>
      <xdr:spPr>
        <a:xfrm>
          <a:off x="4194175" y="4776470"/>
          <a:ext cx="1080135" cy="1080135"/>
        </a:xfrm>
        <a:prstGeom prst="rect">
          <a:avLst/>
        </a:prstGeom>
        <a:noFill/>
        <a:ln w="9525">
          <a:noFill/>
        </a:ln>
      </xdr:spPr>
    </xdr:pic>
    <xdr:clientData/>
  </xdr:twoCellAnchor>
  <xdr:twoCellAnchor editAs="oneCell">
    <xdr:from>
      <xdr:col>4</xdr:col>
      <xdr:colOff>243205</xdr:colOff>
      <xdr:row>12</xdr:row>
      <xdr:rowOff>45720</xdr:rowOff>
    </xdr:from>
    <xdr:to>
      <xdr:col>4</xdr:col>
      <xdr:colOff>1398905</xdr:colOff>
      <xdr:row>12</xdr:row>
      <xdr:rowOff>1186815</xdr:rowOff>
    </xdr:to>
    <xdr:pic>
      <xdr:nvPicPr>
        <xdr:cNvPr id="3" name="ID_78FDE871B6D14F6AB2AC50BA3759594A"/>
        <xdr:cNvPicPr>
          <a:picLocks noChangeAspect="1"/>
        </xdr:cNvPicPr>
      </xdr:nvPicPr>
      <xdr:blipFill>
        <a:blip r:embed="rId2"/>
        <a:stretch>
          <a:fillRect/>
        </a:stretch>
      </xdr:blipFill>
      <xdr:spPr>
        <a:xfrm>
          <a:off x="4129405" y="3362960"/>
          <a:ext cx="1155700" cy="1141095"/>
        </a:xfrm>
        <a:prstGeom prst="rect">
          <a:avLst/>
        </a:prstGeom>
        <a:noFill/>
        <a:ln w="9525">
          <a:noFill/>
        </a:ln>
      </xdr:spPr>
    </xdr:pic>
    <xdr:clientData/>
  </xdr:twoCellAnchor>
  <xdr:twoCellAnchor editAs="oneCell">
    <xdr:from>
      <xdr:col>4</xdr:col>
      <xdr:colOff>327025</xdr:colOff>
      <xdr:row>14</xdr:row>
      <xdr:rowOff>83185</xdr:rowOff>
    </xdr:from>
    <xdr:to>
      <xdr:col>4</xdr:col>
      <xdr:colOff>1425575</xdr:colOff>
      <xdr:row>14</xdr:row>
      <xdr:rowOff>1191895</xdr:rowOff>
    </xdr:to>
    <xdr:pic>
      <xdr:nvPicPr>
        <xdr:cNvPr id="4" name="ID_6AACB2A4A8DD4B5E8540452CC5B2FFC7"/>
        <xdr:cNvPicPr>
          <a:picLocks noChangeAspect="1"/>
        </xdr:cNvPicPr>
      </xdr:nvPicPr>
      <xdr:blipFill>
        <a:blip r:embed="rId3"/>
        <a:stretch>
          <a:fillRect/>
        </a:stretch>
      </xdr:blipFill>
      <xdr:spPr>
        <a:xfrm>
          <a:off x="4213225" y="6067425"/>
          <a:ext cx="1098550" cy="1108710"/>
        </a:xfrm>
        <a:prstGeom prst="rect">
          <a:avLst/>
        </a:prstGeom>
        <a:noFill/>
        <a:ln w="9525">
          <a:noFill/>
        </a:ln>
      </xdr:spPr>
    </xdr:pic>
    <xdr:clientData/>
  </xdr:twoCellAnchor>
  <xdr:twoCellAnchor editAs="oneCell">
    <xdr:from>
      <xdr:col>4</xdr:col>
      <xdr:colOff>248920</xdr:colOff>
      <xdr:row>15</xdr:row>
      <xdr:rowOff>85725</xdr:rowOff>
    </xdr:from>
    <xdr:to>
      <xdr:col>4</xdr:col>
      <xdr:colOff>1379855</xdr:colOff>
      <xdr:row>15</xdr:row>
      <xdr:rowOff>1227455</xdr:rowOff>
    </xdr:to>
    <xdr:pic>
      <xdr:nvPicPr>
        <xdr:cNvPr id="2" name="ID_2537F7EEF905495F985B077C53328964"/>
        <xdr:cNvPicPr>
          <a:picLocks noChangeAspect="1"/>
        </xdr:cNvPicPr>
      </xdr:nvPicPr>
      <xdr:blipFill>
        <a:blip r:embed="rId4"/>
        <a:stretch>
          <a:fillRect/>
        </a:stretch>
      </xdr:blipFill>
      <xdr:spPr>
        <a:xfrm>
          <a:off x="4135120" y="7403465"/>
          <a:ext cx="1130935" cy="114173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373174403@qq.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X35"/>
  <sheetViews>
    <sheetView showGridLines="0" tabSelected="1" zoomScale="85" zoomScaleNormal="85" topLeftCell="A5" workbookViewId="0">
      <selection activeCell="I15" sqref="I15"/>
    </sheetView>
  </sheetViews>
  <sheetFormatPr defaultColWidth="9" defaultRowHeight="14.25"/>
  <cols>
    <col min="1" max="1" width="14.5" style="3" customWidth="1"/>
    <col min="2" max="2" width="12.5" style="3" customWidth="1"/>
    <col min="3" max="3" width="9.4" style="3" customWidth="1"/>
    <col min="4" max="4" width="14.6" style="4" customWidth="1"/>
    <col min="5" max="6" width="22.9" style="3" customWidth="1"/>
    <col min="7" max="7" width="9.1" style="4" customWidth="1"/>
    <col min="8" max="8" width="9.6" style="4" customWidth="1"/>
    <col min="9" max="9" width="10.125" style="4" customWidth="1"/>
    <col min="10" max="10" width="13.025" style="4" customWidth="1"/>
    <col min="11" max="12" width="6.6" style="4" customWidth="1"/>
    <col min="13" max="13" width="8.25" style="4" customWidth="1"/>
    <col min="14" max="14" width="10.1" style="3" customWidth="1"/>
    <col min="15" max="15" width="46.4666666666667" style="5" customWidth="1"/>
    <col min="16" max="16" width="22.4" style="5" customWidth="1"/>
    <col min="17" max="17" width="23.2" style="5" customWidth="1"/>
    <col min="18" max="18" width="10.7" style="5" customWidth="1"/>
    <col min="19" max="19" width="14.6" style="6" customWidth="1"/>
    <col min="20" max="20" width="16.1" style="7" customWidth="1"/>
    <col min="21" max="21" width="13.125" style="3" customWidth="1"/>
    <col min="22" max="16384" width="9" style="3"/>
  </cols>
  <sheetData>
    <row r="1" ht="42" customHeight="1" spans="1:24">
      <c r="A1" s="8" t="s">
        <v>0</v>
      </c>
      <c r="B1" s="8"/>
      <c r="C1" s="8"/>
      <c r="D1" s="8"/>
      <c r="E1" s="8"/>
      <c r="F1" s="8"/>
      <c r="G1" s="8"/>
      <c r="H1" s="8"/>
      <c r="I1" s="8"/>
      <c r="J1" s="8"/>
      <c r="K1" s="8"/>
      <c r="L1" s="8"/>
      <c r="M1" s="8"/>
      <c r="N1" s="8"/>
      <c r="O1" s="8"/>
      <c r="P1" s="8"/>
      <c r="Q1" s="8"/>
      <c r="R1" s="8"/>
      <c r="S1" s="8"/>
      <c r="T1" s="9"/>
    </row>
    <row r="2" ht="15.15" customHeight="1" spans="1:24">
      <c r="A2" s="10" t="s">
        <v>1</v>
      </c>
      <c r="B2" s="10"/>
      <c r="C2" s="10"/>
      <c r="D2" s="10"/>
      <c r="E2" s="10"/>
      <c r="F2" s="10"/>
      <c r="G2" s="10"/>
      <c r="H2" s="10"/>
      <c r="I2" s="10"/>
      <c r="J2" s="10"/>
      <c r="K2" s="10"/>
      <c r="L2" s="10"/>
      <c r="M2" s="10"/>
      <c r="N2" s="10"/>
      <c r="O2" s="10"/>
      <c r="P2" s="10"/>
      <c r="Q2" s="10"/>
      <c r="R2" s="10"/>
      <c r="S2" s="10"/>
      <c r="T2" s="9"/>
    </row>
    <row r="3" ht="14.4" customHeight="1" spans="1:24">
      <c r="A3" s="10"/>
      <c r="B3" s="10"/>
      <c r="C3" s="10"/>
      <c r="D3" s="10"/>
      <c r="E3" s="10"/>
      <c r="F3" s="10"/>
      <c r="G3" s="10"/>
      <c r="H3" s="10"/>
      <c r="I3" s="10"/>
      <c r="J3" s="10"/>
      <c r="K3" s="10"/>
      <c r="L3" s="10"/>
      <c r="M3" s="10"/>
      <c r="N3" s="10"/>
      <c r="O3" s="10"/>
      <c r="P3" s="10"/>
      <c r="Q3" s="10"/>
      <c r="R3" s="10"/>
      <c r="S3" s="10"/>
      <c r="T3" s="11"/>
    </row>
    <row r="4" ht="26.4" customHeight="1" spans="1:24">
      <c r="A4" s="12" t="s">
        <v>2</v>
      </c>
      <c r="B4" s="12"/>
      <c r="C4" s="12"/>
      <c r="D4" s="12"/>
      <c r="E4" s="12"/>
      <c r="F4" s="12"/>
      <c r="G4" s="12"/>
      <c r="H4" s="12"/>
      <c r="I4" s="12"/>
      <c r="J4" s="12"/>
      <c r="K4" s="12"/>
      <c r="L4" s="12"/>
      <c r="M4" s="12"/>
      <c r="N4" s="12"/>
      <c r="O4" s="12"/>
      <c r="P4" s="12"/>
      <c r="Q4" s="12"/>
      <c r="R4" s="12"/>
      <c r="S4" s="12"/>
      <c r="T4" s="13"/>
    </row>
    <row r="5" ht="4.5" customHeight="1" spans="1:24">
      <c r="A5" s="12"/>
      <c r="B5" s="12"/>
      <c r="C5" s="12"/>
      <c r="D5" s="12"/>
      <c r="E5" s="12"/>
      <c r="F5" s="12"/>
      <c r="G5" s="12"/>
      <c r="H5" s="12"/>
      <c r="I5" s="12"/>
      <c r="J5" s="12"/>
      <c r="K5" s="12"/>
      <c r="L5" s="12"/>
      <c r="M5" s="12"/>
      <c r="N5" s="12"/>
      <c r="O5" s="12"/>
      <c r="P5" s="12"/>
      <c r="Q5" s="12"/>
      <c r="R5" s="12"/>
      <c r="S5" s="12"/>
      <c r="T5" s="14"/>
    </row>
    <row r="6" ht="18.15" customHeight="1" spans="1:24">
      <c r="A6" s="15"/>
      <c r="B6" s="16" t="s">
        <v>3</v>
      </c>
      <c r="C6" s="17"/>
      <c r="D6" s="17"/>
      <c r="E6" s="17"/>
      <c r="F6" s="18"/>
      <c r="G6" s="19"/>
      <c r="H6" s="11"/>
      <c r="I6" s="11"/>
      <c r="J6" s="10" t="s">
        <v>4</v>
      </c>
      <c r="K6" s="20" t="s">
        <v>5</v>
      </c>
      <c r="L6" s="20"/>
      <c r="M6" s="20"/>
      <c r="N6" s="20"/>
      <c r="O6" s="20"/>
      <c r="T6" s="11"/>
    </row>
    <row r="7" ht="32.4" customHeight="1" spans="1:24">
      <c r="A7" s="15"/>
      <c r="B7" s="21" t="s">
        <v>6</v>
      </c>
      <c r="C7" s="21"/>
      <c r="D7" s="21"/>
      <c r="E7" s="21"/>
      <c r="F7" s="21"/>
      <c r="G7" s="21"/>
      <c r="H7" s="21"/>
      <c r="I7" s="22"/>
      <c r="J7" s="10" t="s">
        <v>7</v>
      </c>
      <c r="K7" s="21" t="s">
        <v>8</v>
      </c>
      <c r="L7" s="21"/>
      <c r="M7" s="21"/>
      <c r="N7" s="21"/>
      <c r="O7" s="21"/>
      <c r="T7" s="22"/>
    </row>
    <row r="8" ht="14.4" customHeight="1" spans="1:24">
      <c r="A8" s="15"/>
      <c r="B8" s="16" t="s">
        <v>9</v>
      </c>
      <c r="C8" s="23" t="s">
        <v>10</v>
      </c>
      <c r="D8" s="23"/>
      <c r="E8" s="23"/>
      <c r="F8" s="18"/>
      <c r="G8" s="19"/>
      <c r="H8" s="22"/>
      <c r="I8" s="22"/>
      <c r="J8" s="10" t="s">
        <v>11</v>
      </c>
      <c r="K8" s="24" t="s">
        <v>12</v>
      </c>
      <c r="L8" s="24"/>
      <c r="M8" s="21"/>
      <c r="N8" s="21"/>
      <c r="O8" s="21"/>
      <c r="T8" s="22"/>
    </row>
    <row r="9" ht="14.4" customHeight="1" spans="1:24">
      <c r="A9" s="15"/>
      <c r="B9" s="16" t="s">
        <v>13</v>
      </c>
      <c r="C9" s="25" t="s">
        <v>14</v>
      </c>
      <c r="D9" s="23"/>
      <c r="E9" s="23"/>
      <c r="F9" s="18"/>
      <c r="G9" s="19"/>
      <c r="H9" s="22"/>
      <c r="I9" s="22"/>
      <c r="J9" s="10" t="s">
        <v>13</v>
      </c>
      <c r="K9" s="26"/>
      <c r="L9" s="26"/>
      <c r="M9" s="26"/>
      <c r="N9" s="26"/>
      <c r="O9" s="24"/>
      <c r="T9" s="22"/>
    </row>
    <row r="10" ht="14.4" customHeight="1" spans="1:24">
      <c r="A10" s="15"/>
      <c r="B10" s="27" t="s">
        <v>15</v>
      </c>
      <c r="C10" s="23"/>
      <c r="D10" s="23"/>
      <c r="E10" s="23"/>
      <c r="F10" s="18"/>
      <c r="G10" s="19"/>
      <c r="H10" s="22"/>
      <c r="I10" s="22"/>
      <c r="J10" s="10" t="s">
        <v>16</v>
      </c>
      <c r="K10" s="28" t="s">
        <v>17</v>
      </c>
      <c r="L10" s="28"/>
      <c r="M10" s="29"/>
      <c r="N10" s="24"/>
      <c r="O10" s="24"/>
      <c r="T10" s="22"/>
    </row>
    <row r="11" ht="17" customHeight="1" spans="1:24">
      <c r="A11" s="15"/>
      <c r="B11" s="27" t="s">
        <v>18</v>
      </c>
      <c r="C11" s="30"/>
      <c r="D11" s="30"/>
      <c r="E11" s="30"/>
      <c r="F11" s="14"/>
      <c r="G11" s="14"/>
      <c r="H11" s="14"/>
      <c r="I11" s="14"/>
      <c r="J11" s="31" t="s">
        <v>19</v>
      </c>
      <c r="K11" s="31"/>
      <c r="L11" s="31"/>
      <c r="M11" s="31"/>
      <c r="N11" s="31"/>
      <c r="O11" s="31"/>
      <c r="P11" s="14"/>
      <c r="Q11" s="14"/>
      <c r="R11" s="14"/>
      <c r="S11" s="14"/>
      <c r="T11" s="14"/>
    </row>
    <row r="12" s="1" customFormat="1" ht="48" customHeight="1" spans="1:24">
      <c r="A12" s="32" t="s">
        <v>20</v>
      </c>
      <c r="B12" s="32" t="s">
        <v>21</v>
      </c>
      <c r="C12" s="32" t="s">
        <v>22</v>
      </c>
      <c r="D12" s="32" t="s">
        <v>23</v>
      </c>
      <c r="E12" s="32" t="s">
        <v>24</v>
      </c>
      <c r="F12" s="32" t="s">
        <v>25</v>
      </c>
      <c r="G12" s="32" t="s">
        <v>26</v>
      </c>
      <c r="H12" s="33" t="s">
        <v>27</v>
      </c>
      <c r="I12" s="32" t="s">
        <v>28</v>
      </c>
      <c r="J12" s="32" t="s">
        <v>29</v>
      </c>
      <c r="K12" s="32" t="s">
        <v>30</v>
      </c>
      <c r="L12" s="32" t="s">
        <v>31</v>
      </c>
      <c r="M12" s="32" t="s">
        <v>32</v>
      </c>
      <c r="N12" s="32" t="s">
        <v>33</v>
      </c>
      <c r="O12" s="32" t="s">
        <v>34</v>
      </c>
      <c r="P12" s="32" t="s">
        <v>35</v>
      </c>
      <c r="Q12" s="32" t="s">
        <v>36</v>
      </c>
      <c r="R12" s="32" t="s">
        <v>37</v>
      </c>
      <c r="S12" s="32" t="s">
        <v>38</v>
      </c>
      <c r="T12" s="32" t="s">
        <v>39</v>
      </c>
    </row>
    <row r="13" s="2" customFormat="1" ht="105" customHeight="1" spans="1:24">
      <c r="A13" s="34">
        <v>3924900000</v>
      </c>
      <c r="B13" s="35"/>
      <c r="C13" s="36"/>
      <c r="D13" s="36" t="s">
        <v>40</v>
      </c>
      <c r="E13" s="37"/>
      <c r="F13" s="38"/>
      <c r="G13" s="39"/>
      <c r="H13" s="40">
        <v>31</v>
      </c>
      <c r="I13" s="41">
        <v>491.37</v>
      </c>
      <c r="J13" s="42"/>
      <c r="K13" s="42"/>
      <c r="L13" s="42"/>
      <c r="M13" s="43"/>
      <c r="N13" s="44"/>
      <c r="O13" s="45">
        <f>H13*I13</f>
        <v>15232.47</v>
      </c>
      <c r="P13" s="46"/>
      <c r="Q13" s="46"/>
      <c r="R13" s="44"/>
      <c r="S13" s="44"/>
      <c r="T13" s="47"/>
      <c r="U13" s="48"/>
      <c r="V13" s="49"/>
      <c r="W13" s="49"/>
      <c r="X13" s="49"/>
    </row>
    <row r="14" s="1" customFormat="1" ht="105" customHeight="1" spans="1:24">
      <c r="A14" s="35" t="s">
        <v>41</v>
      </c>
      <c r="B14" s="35"/>
      <c r="C14" s="50"/>
      <c r="D14" s="36" t="s">
        <v>42</v>
      </c>
      <c r="E14" s="51"/>
      <c r="F14" s="32"/>
      <c r="G14" s="32"/>
      <c r="H14" s="40">
        <v>2595</v>
      </c>
      <c r="I14" s="41">
        <v>21.01</v>
      </c>
      <c r="J14" s="32"/>
      <c r="K14" s="32"/>
      <c r="L14" s="32"/>
      <c r="M14" s="32"/>
      <c r="N14" s="32"/>
      <c r="O14" s="45">
        <f>H14*I14</f>
        <v>54520.95</v>
      </c>
      <c r="P14" s="32"/>
      <c r="Q14" s="32"/>
      <c r="R14" s="32"/>
      <c r="S14" s="32"/>
      <c r="T14" s="32"/>
    </row>
    <row r="15" s="1" customFormat="1" ht="105" customHeight="1" spans="1:24">
      <c r="A15" s="35" t="s">
        <v>43</v>
      </c>
      <c r="B15" s="50"/>
      <c r="C15" s="50"/>
      <c r="D15" s="36" t="s">
        <v>44</v>
      </c>
      <c r="E15" s="37"/>
      <c r="F15" s="32"/>
      <c r="G15" s="32"/>
      <c r="H15" s="40">
        <v>400</v>
      </c>
      <c r="I15" s="41">
        <v>16.75</v>
      </c>
      <c r="J15" s="32"/>
      <c r="K15" s="32"/>
      <c r="L15" s="32"/>
      <c r="M15" s="32"/>
      <c r="N15" s="32"/>
      <c r="O15" s="45">
        <f>H15*I15</f>
        <v>6700</v>
      </c>
      <c r="P15" s="32"/>
      <c r="Q15" s="32"/>
      <c r="R15" s="32"/>
      <c r="S15" s="32"/>
      <c r="T15" s="32"/>
    </row>
    <row r="16" s="1" customFormat="1" ht="105" customHeight="1" spans="1:24">
      <c r="A16" s="35" t="s">
        <v>41</v>
      </c>
      <c r="B16" s="50"/>
      <c r="C16" s="50"/>
      <c r="D16" s="36" t="s">
        <v>42</v>
      </c>
      <c r="E16" s="37"/>
      <c r="F16" s="32"/>
      <c r="G16" s="32"/>
      <c r="H16" s="40">
        <v>185</v>
      </c>
      <c r="I16" s="41">
        <v>336.87</v>
      </c>
      <c r="J16" s="32"/>
      <c r="K16" s="32"/>
      <c r="L16" s="32"/>
      <c r="M16" s="32"/>
      <c r="N16" s="32"/>
      <c r="O16" s="45">
        <f>H16*I16</f>
        <v>62320.95</v>
      </c>
      <c r="P16" s="32"/>
      <c r="Q16" s="32"/>
      <c r="R16" s="32"/>
      <c r="S16" s="32"/>
      <c r="T16" s="32"/>
    </row>
    <row r="17" spans="1:20">
      <c r="O17" s="52"/>
    </row>
    <row r="18" ht="18.15" customHeight="1" spans="1:20">
      <c r="A18" s="50" t="s">
        <v>45</v>
      </c>
      <c r="B18" s="50"/>
      <c r="C18" s="50"/>
      <c r="D18" s="50"/>
      <c r="E18" s="50"/>
      <c r="F18" s="50"/>
      <c r="G18" s="50"/>
      <c r="H18" s="40">
        <f>SUM(H13:H16)</f>
        <v>3211</v>
      </c>
      <c r="I18" s="40"/>
      <c r="J18" s="53"/>
      <c r="K18" s="53"/>
      <c r="L18" s="53"/>
      <c r="M18" s="54"/>
      <c r="N18" s="55"/>
      <c r="O18" s="45">
        <f>SUM(O13:O16)</f>
        <v>138774.37</v>
      </c>
      <c r="P18" s="50"/>
      <c r="Q18" s="56"/>
      <c r="R18" s="56"/>
      <c r="S18" s="57"/>
      <c r="T18" s="50"/>
    </row>
    <row r="19" ht="18.15" customHeight="1" spans="1:20">
      <c r="A19" s="58" t="s">
        <v>46</v>
      </c>
      <c r="B19" s="58"/>
      <c r="C19" s="58"/>
      <c r="D19" s="58"/>
      <c r="E19" s="59">
        <f>O18</f>
        <v>138774.37</v>
      </c>
      <c r="F19" s="59"/>
      <c r="G19" s="59"/>
      <c r="H19" s="59"/>
      <c r="I19" s="59"/>
      <c r="J19" s="59"/>
      <c r="K19" s="59"/>
      <c r="L19" s="59"/>
      <c r="M19" s="59"/>
      <c r="N19" s="59"/>
      <c r="O19" s="59"/>
      <c r="P19" s="59"/>
      <c r="Q19" s="59"/>
      <c r="R19" s="59"/>
      <c r="S19" s="59"/>
      <c r="T19" s="59"/>
    </row>
    <row r="20" ht="18.15" customHeight="1" spans="1:20">
      <c r="A20" s="60"/>
      <c r="B20" s="60"/>
      <c r="C20" s="60"/>
      <c r="D20" s="60"/>
      <c r="E20" s="60"/>
      <c r="F20" s="60"/>
      <c r="G20" s="60"/>
      <c r="H20" s="60"/>
      <c r="I20" s="60"/>
      <c r="J20" s="60"/>
      <c r="K20" s="60"/>
      <c r="L20" s="60"/>
      <c r="M20" s="60"/>
      <c r="N20" s="60"/>
      <c r="O20" s="60"/>
      <c r="P20" s="60"/>
      <c r="Q20" s="60"/>
      <c r="R20" s="60"/>
      <c r="S20" s="60"/>
      <c r="T20" s="60"/>
    </row>
    <row r="21" ht="25.95" customHeight="1" spans="1:20">
      <c r="A21" s="61" t="s">
        <v>47</v>
      </c>
      <c r="B21" s="62"/>
      <c r="C21" s="62"/>
      <c r="D21" s="63"/>
      <c r="E21" s="64"/>
      <c r="F21" s="65" t="s">
        <v>48</v>
      </c>
      <c r="G21" s="61" t="s">
        <v>49</v>
      </c>
      <c r="H21" s="62"/>
      <c r="I21" s="62"/>
      <c r="J21" s="62"/>
      <c r="K21" s="62"/>
      <c r="L21" s="62"/>
      <c r="M21" s="62"/>
      <c r="N21" s="62"/>
      <c r="O21" s="62"/>
      <c r="P21" s="62"/>
      <c r="Q21" s="62"/>
      <c r="R21" s="62"/>
      <c r="S21" s="62"/>
      <c r="T21" s="66"/>
    </row>
    <row r="22" ht="54" customHeight="1" spans="1:20">
      <c r="A22" s="67" t="s">
        <v>50</v>
      </c>
      <c r="B22" s="68"/>
      <c r="C22" s="68"/>
      <c r="D22" s="68"/>
      <c r="E22" s="69"/>
      <c r="F22" s="70" t="s">
        <v>51</v>
      </c>
      <c r="G22" s="71"/>
      <c r="H22" s="63"/>
      <c r="I22" s="63"/>
      <c r="J22" s="63"/>
      <c r="K22" s="63"/>
      <c r="L22" s="63"/>
      <c r="M22" s="63"/>
      <c r="N22" s="63"/>
      <c r="O22" s="63"/>
      <c r="P22" s="63"/>
      <c r="Q22" s="63"/>
      <c r="R22" s="63"/>
      <c r="S22" s="63"/>
      <c r="T22" s="66"/>
    </row>
    <row r="23" ht="25.95" customHeight="1" spans="1:20">
      <c r="A23" s="72" t="s">
        <v>52</v>
      </c>
      <c r="B23" s="73"/>
      <c r="C23" s="73"/>
      <c r="D23" s="74"/>
      <c r="E23" s="75"/>
      <c r="F23" s="76" t="s">
        <v>53</v>
      </c>
      <c r="G23" s="71"/>
      <c r="H23" s="63"/>
      <c r="I23" s="63"/>
      <c r="J23" s="63"/>
      <c r="K23" s="63"/>
      <c r="L23" s="63"/>
      <c r="M23" s="63"/>
      <c r="N23" s="63"/>
      <c r="O23" s="63"/>
      <c r="P23" s="63"/>
      <c r="Q23" s="63"/>
      <c r="R23" s="63"/>
      <c r="S23" s="63"/>
      <c r="T23" s="66"/>
    </row>
    <row r="24" ht="25.95" customHeight="1" spans="1:20">
      <c r="A24" s="72" t="s">
        <v>54</v>
      </c>
      <c r="B24" s="73"/>
      <c r="C24" s="73"/>
      <c r="D24" s="74"/>
      <c r="E24" s="75"/>
      <c r="F24" s="76" t="s">
        <v>55</v>
      </c>
      <c r="G24" s="71"/>
      <c r="H24" s="63"/>
      <c r="I24" s="63"/>
      <c r="J24" s="63"/>
      <c r="K24" s="63"/>
      <c r="L24" s="63"/>
      <c r="M24" s="63"/>
      <c r="N24" s="63"/>
      <c r="O24" s="63"/>
      <c r="P24" s="63"/>
      <c r="Q24" s="63"/>
      <c r="R24" s="63"/>
      <c r="S24" s="63"/>
      <c r="T24" s="66"/>
    </row>
    <row r="25" ht="25.95" customHeight="1" spans="1:20">
      <c r="A25" s="72" t="s">
        <v>56</v>
      </c>
      <c r="B25" s="73"/>
      <c r="C25" s="73"/>
      <c r="D25" s="74"/>
      <c r="E25" s="75"/>
      <c r="F25" s="76" t="s">
        <v>57</v>
      </c>
      <c r="G25" s="77"/>
      <c r="H25" s="78"/>
      <c r="I25" s="78"/>
      <c r="J25" s="78"/>
      <c r="K25" s="78"/>
      <c r="L25" s="78"/>
      <c r="M25" s="78"/>
      <c r="N25" s="78"/>
      <c r="O25" s="78"/>
      <c r="P25" s="78"/>
      <c r="Q25" s="78"/>
      <c r="R25" s="78"/>
      <c r="S25" s="78"/>
      <c r="T25" s="66"/>
    </row>
    <row r="26" ht="38" customHeight="1" spans="1:20">
      <c r="A26" s="79" t="s">
        <v>58</v>
      </c>
      <c r="B26" s="80"/>
      <c r="C26" s="80"/>
      <c r="D26" s="80"/>
      <c r="E26" s="75"/>
      <c r="F26" s="81" t="s">
        <v>59</v>
      </c>
      <c r="G26" s="63"/>
      <c r="H26" s="63"/>
      <c r="I26" s="63"/>
      <c r="J26" s="63"/>
      <c r="K26" s="63"/>
      <c r="L26" s="63"/>
      <c r="M26" s="63"/>
      <c r="N26" s="63"/>
      <c r="O26" s="63"/>
      <c r="P26" s="63"/>
      <c r="Q26" s="63"/>
      <c r="R26" s="63"/>
      <c r="S26" s="63"/>
      <c r="T26" s="82"/>
    </row>
    <row r="27" ht="21.6" customHeight="1" spans="1:20">
      <c r="A27" s="83" t="s">
        <v>60</v>
      </c>
      <c r="B27" s="84"/>
      <c r="C27" s="84"/>
      <c r="D27" s="84"/>
      <c r="E27" s="85"/>
      <c r="F27" s="86"/>
      <c r="G27" s="74"/>
      <c r="H27" s="74"/>
      <c r="I27" s="74"/>
      <c r="J27" s="74"/>
      <c r="K27" s="74"/>
      <c r="L27" s="74"/>
      <c r="M27" s="74"/>
      <c r="N27" s="74"/>
      <c r="O27" s="74"/>
      <c r="P27" s="74"/>
      <c r="Q27" s="74"/>
      <c r="R27" s="74"/>
      <c r="S27" s="74"/>
      <c r="T27" s="87"/>
    </row>
    <row r="28" ht="31" customHeight="1" spans="1:20">
      <c r="A28" s="83" t="s">
        <v>61</v>
      </c>
      <c r="B28" s="84"/>
      <c r="C28" s="84"/>
      <c r="D28" s="84"/>
      <c r="E28" s="85"/>
      <c r="F28" s="86"/>
      <c r="G28" s="74"/>
      <c r="H28" s="74"/>
      <c r="I28" s="74"/>
      <c r="J28" s="74"/>
      <c r="K28" s="74"/>
      <c r="L28" s="74"/>
      <c r="M28" s="74"/>
      <c r="N28" s="74"/>
      <c r="O28" s="74"/>
      <c r="P28" s="74"/>
      <c r="Q28" s="74"/>
      <c r="R28" s="74"/>
      <c r="S28" s="74"/>
      <c r="T28" s="87"/>
    </row>
    <row r="29" ht="21.6" customHeight="1" spans="1:20">
      <c r="A29" s="83" t="s">
        <v>62</v>
      </c>
      <c r="B29" s="84"/>
      <c r="C29" s="84"/>
      <c r="D29" s="84"/>
      <c r="E29" s="85"/>
      <c r="F29" s="86"/>
      <c r="G29" s="74"/>
      <c r="H29" s="74"/>
      <c r="I29" s="74"/>
      <c r="J29" s="74"/>
      <c r="K29" s="74"/>
      <c r="L29" s="74"/>
      <c r="M29" s="74"/>
      <c r="N29" s="74"/>
      <c r="O29" s="74"/>
      <c r="P29" s="74"/>
      <c r="Q29" s="74"/>
      <c r="R29" s="74"/>
      <c r="S29" s="74"/>
      <c r="T29" s="87"/>
    </row>
    <row r="30" ht="33" customHeight="1" spans="1:20">
      <c r="A30" s="83" t="s">
        <v>63</v>
      </c>
      <c r="B30" s="84"/>
      <c r="C30" s="84"/>
      <c r="D30" s="84"/>
      <c r="E30" s="85"/>
      <c r="F30" s="86"/>
      <c r="G30" s="74"/>
      <c r="H30" s="74"/>
      <c r="I30" s="74"/>
      <c r="J30" s="74"/>
      <c r="K30" s="74"/>
      <c r="L30" s="74"/>
      <c r="M30" s="74"/>
      <c r="N30" s="74"/>
      <c r="O30" s="74"/>
      <c r="P30" s="74"/>
      <c r="Q30" s="74"/>
      <c r="R30" s="74"/>
      <c r="S30" s="74"/>
      <c r="T30" s="87"/>
    </row>
    <row r="31" ht="21.6" customHeight="1" spans="1:20">
      <c r="A31" s="83" t="s">
        <v>64</v>
      </c>
      <c r="B31" s="84"/>
      <c r="C31" s="84"/>
      <c r="D31" s="84"/>
      <c r="E31" s="85"/>
      <c r="F31" s="86"/>
      <c r="G31" s="74"/>
      <c r="H31" s="74"/>
      <c r="I31" s="74"/>
      <c r="J31" s="74"/>
      <c r="K31" s="74"/>
      <c r="L31" s="74"/>
      <c r="M31" s="74"/>
      <c r="N31" s="74"/>
      <c r="O31" s="74"/>
      <c r="P31" s="74"/>
      <c r="Q31" s="74"/>
      <c r="R31" s="74"/>
      <c r="S31" s="74"/>
      <c r="T31" s="87"/>
    </row>
    <row r="32" ht="21.6" customHeight="1" spans="1:20">
      <c r="A32" s="83" t="s">
        <v>65</v>
      </c>
      <c r="B32" s="84"/>
      <c r="C32" s="84"/>
      <c r="D32" s="84"/>
      <c r="E32" s="85"/>
      <c r="F32" s="86"/>
      <c r="G32" s="74"/>
      <c r="H32" s="74"/>
      <c r="I32" s="74"/>
      <c r="J32" s="74"/>
      <c r="K32" s="74"/>
      <c r="L32" s="74"/>
      <c r="M32" s="74"/>
      <c r="N32" s="74"/>
      <c r="O32" s="74"/>
      <c r="P32" s="74"/>
      <c r="Q32" s="74"/>
      <c r="R32" s="74"/>
      <c r="S32" s="74"/>
      <c r="T32" s="87"/>
    </row>
    <row r="33" ht="22.2" customHeight="1" spans="1:20">
      <c r="A33" s="88" t="s">
        <v>66</v>
      </c>
      <c r="B33" s="89"/>
      <c r="C33" s="89"/>
      <c r="D33" s="89"/>
      <c r="E33" s="90"/>
      <c r="F33" s="91"/>
      <c r="G33" s="92"/>
      <c r="H33" s="92"/>
      <c r="I33" s="92"/>
      <c r="J33" s="92"/>
      <c r="K33" s="92"/>
      <c r="L33" s="92"/>
      <c r="M33" s="92"/>
      <c r="N33" s="92"/>
      <c r="O33" s="92"/>
      <c r="P33" s="92"/>
      <c r="Q33" s="92"/>
      <c r="R33" s="92"/>
      <c r="S33" s="92"/>
      <c r="T33" s="93"/>
    </row>
    <row r="34" ht="102.9" customHeight="1" spans="1:20">
      <c r="A34" s="94" t="s">
        <v>67</v>
      </c>
      <c r="B34" s="95"/>
      <c r="C34" s="95"/>
      <c r="D34" s="95"/>
      <c r="E34" s="95"/>
      <c r="F34" s="95"/>
      <c r="G34" s="95"/>
      <c r="H34" s="95"/>
      <c r="I34" s="95"/>
      <c r="J34" s="95"/>
      <c r="K34" s="95"/>
      <c r="L34" s="95"/>
      <c r="M34" s="95"/>
      <c r="N34" s="95"/>
      <c r="O34" s="95"/>
      <c r="P34" s="95"/>
      <c r="Q34" s="95"/>
      <c r="R34" s="95"/>
      <c r="S34" s="95"/>
      <c r="T34" s="96"/>
    </row>
    <row r="35" ht="67.05" customHeight="1" spans="1:20">
      <c r="A35" s="97"/>
      <c r="B35" s="98"/>
      <c r="C35" s="98"/>
      <c r="D35" s="98"/>
      <c r="E35" s="98"/>
      <c r="F35" s="98"/>
      <c r="G35" s="98"/>
      <c r="H35" s="98"/>
      <c r="I35" s="98"/>
      <c r="J35" s="98"/>
      <c r="K35" s="98"/>
      <c r="L35" s="98"/>
      <c r="M35" s="98"/>
      <c r="N35" s="98"/>
      <c r="O35" s="98"/>
      <c r="P35" s="98"/>
      <c r="Q35" s="98"/>
      <c r="R35" s="98"/>
      <c r="S35" s="98"/>
      <c r="T35" s="99"/>
    </row>
  </sheetData>
  <autoFilter xmlns:etc="http://www.wps.cn/officeDocument/2017/etCustomData" ref="A12:X19" etc:filterBottomFollowUsedRange="0">
    <extLst/>
  </autoFilter>
  <mergeCells count="31">
    <mergeCell ref="A1:S1"/>
    <mergeCell ref="B7:H7"/>
    <mergeCell ref="K7:O7"/>
    <mergeCell ref="C8:E8"/>
    <mergeCell ref="K8:L8"/>
    <mergeCell ref="C9:E9"/>
    <mergeCell ref="K9:N9"/>
    <mergeCell ref="K10:L10"/>
    <mergeCell ref="J11:O11"/>
    <mergeCell ref="A18:G18"/>
    <mergeCell ref="A19:D19"/>
    <mergeCell ref="E19:T19"/>
    <mergeCell ref="A20:T20"/>
    <mergeCell ref="G21:S21"/>
    <mergeCell ref="A22:E22"/>
    <mergeCell ref="G22:S22"/>
    <mergeCell ref="G23:S23"/>
    <mergeCell ref="G24:S24"/>
    <mergeCell ref="G25:S25"/>
    <mergeCell ref="A27:E27"/>
    <mergeCell ref="A28:E28"/>
    <mergeCell ref="A29:E29"/>
    <mergeCell ref="A30:E30"/>
    <mergeCell ref="A31:E31"/>
    <mergeCell ref="A32:E32"/>
    <mergeCell ref="A33:E33"/>
    <mergeCell ref="F26:F33"/>
    <mergeCell ref="A2:S3"/>
    <mergeCell ref="A4:S5"/>
    <mergeCell ref="G26:T33"/>
    <mergeCell ref="A34:S35"/>
  </mergeCells>
  <hyperlinks>
    <hyperlink ref="C9" r:id="rId2" display="373174403@qq.com"/>
  </hyperlinks>
  <pageMargins left="0.75" right="0.75" top="1" bottom="1" header="0.5" footer="0.5"/>
  <pageSetup paperSize="9" scale="34" fitToHeight="2000" orientation="portrait"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sales contract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山摆</cp:lastModifiedBy>
  <cp:revision>1</cp:revision>
  <dcterms:created xsi:type="dcterms:W3CDTF">1996-12-17T01:32:00Z</dcterms:created>
  <cp:lastPrinted>2022-12-15T04:21:00Z</cp:lastPrinted>
  <dcterms:modified xsi:type="dcterms:W3CDTF">2025-12-02T09:21:44Z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FB7BADE89A14428BAE9E7E78934AA0A4_13</vt:lpwstr>
  </property>
  <property fmtid="{D5CDD505-2E9C-101B-9397-08002B2CF9AE}" pid="3" name="KSOProductBuildVer">
    <vt:lpwstr>2052-12.1.0.23542</vt:lpwstr>
  </property>
  <property fmtid="{D5CDD505-2E9C-101B-9397-08002B2CF9AE}" pid="4" name="Generator">
    <vt:lpwstr>NPOI</vt:lpwstr>
  </property>
  <property fmtid="{D5CDD505-2E9C-101B-9397-08002B2CF9AE}" pid="5" name="Generator Version">
    <vt:lpwstr>2.3.0</vt:lpwstr>
  </property>
</Properties>
</file>