
<file path=[Content_Types].xml><?xml version="1.0" encoding="utf-8"?>
<Types xmlns="http://schemas.openxmlformats.org/package/2006/content-types">
  <Default Extension="png" ContentType="image/png"/>
  <Default Extension="jpeg" ContentType="image/jpeg"/>
  <Default Extension="JPG" ContentType="image/.jp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mc:AlternateContent xmlns:mc="http://schemas.openxmlformats.org/markup-compatibility/2006">
    <mc:Choice Requires="x15">
      <x15ac:absPath xmlns:x15ac="http://schemas.microsoft.com/office/spreadsheetml/2010/11/ac" url="C:\Users\ASUS\Desktop\退税资料模版\"/>
    </mc:Choice>
  </mc:AlternateContent>
  <bookViews>
    <workbookView windowWidth="28800" windowHeight="12375"/>
  </bookViews>
  <sheets>
    <sheet name="合同和出库单" sheetId="1" r:id="rId1"/>
    <sheet name="PI单" sheetId="3" r:id="rId2"/>
    <sheet name="报关单" sheetId="4" r:id="rId3"/>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<sst xmlns="http://schemas.openxmlformats.org/spreadsheetml/2006/main" count="218" uniqueCount="186">
  <si>
    <t>广州狮爪网络科技有限公司</t>
  </si>
  <si>
    <t>采购合同</t>
  </si>
  <si>
    <t>供方：</t>
  </si>
  <si>
    <t>台州市好一家家居用品有限公司</t>
  </si>
  <si>
    <t>合同号：</t>
  </si>
  <si>
    <t>GZSZ-2026052201</t>
  </si>
  <si>
    <t>需方：</t>
  </si>
  <si>
    <t>签定地点：</t>
  </si>
  <si>
    <t>广州</t>
  </si>
  <si>
    <t>供需方根据市场情况，本着“互惠互利、长期合作”的原则，经双方友好洽谈。协商一致，达成购销合同如下：</t>
  </si>
  <si>
    <t>一、产品名称、数量、价格。</t>
  </si>
  <si>
    <t>编号</t>
  </si>
  <si>
    <t>产品名称</t>
  </si>
  <si>
    <r>
      <rPr>
        <sz val="14"/>
        <color theme="1"/>
        <rFont val="仿宋"/>
        <charset val="134"/>
      </rPr>
      <t>数量（单位</t>
    </r>
    <r>
      <rPr>
        <sz val="14"/>
        <color rgb="FFFF0000"/>
        <rFont val="仿宋"/>
        <charset val="134"/>
      </rPr>
      <t>个</t>
    </r>
    <r>
      <rPr>
        <sz val="14"/>
        <color theme="1"/>
        <rFont val="仿宋"/>
        <charset val="134"/>
      </rPr>
      <t>）</t>
    </r>
  </si>
  <si>
    <t>币别</t>
  </si>
  <si>
    <r>
      <rPr>
        <sz val="14"/>
        <color theme="1"/>
        <rFont val="仿宋"/>
        <charset val="134"/>
      </rPr>
      <t>单价（</t>
    </r>
    <r>
      <rPr>
        <sz val="14"/>
        <rFont val="仿宋"/>
        <charset val="134"/>
      </rPr>
      <t>元/</t>
    </r>
    <r>
      <rPr>
        <sz val="14"/>
        <color rgb="FFFF0000"/>
        <rFont val="仿宋"/>
        <charset val="134"/>
      </rPr>
      <t>个</t>
    </r>
    <r>
      <rPr>
        <sz val="14"/>
        <color theme="1"/>
        <rFont val="仿宋"/>
        <charset val="134"/>
      </rPr>
      <t>）</t>
    </r>
  </si>
  <si>
    <t>总金额</t>
  </si>
  <si>
    <t>收纳架</t>
  </si>
  <si>
    <t>人民币</t>
  </si>
  <si>
    <t>合计</t>
  </si>
  <si>
    <t>二、交（提）货日期:</t>
  </si>
  <si>
    <t>前</t>
  </si>
  <si>
    <t>三、交（提）货地点:供方仓库</t>
  </si>
  <si>
    <t>四、付款方式：银行汇款，货款两清。</t>
  </si>
  <si>
    <t>五、质量标准：应符合国家标准，按需方指定的要求进行生产。因产品质量问题引起的一切损失及责任由供方承担。</t>
  </si>
  <si>
    <t>六、产品包装：箱装。</t>
  </si>
  <si>
    <t>七、运输方式：供方负责将货物运到需方指定地点。</t>
  </si>
  <si>
    <t>八、验收方式：以货到9天内为提出异议期限，否则，视为合格。</t>
  </si>
  <si>
    <t>九、法律责任：此合同签定后，供需双方须严格履行，任何一方不遵守合同的约定，应承担法律责任。若有异议，双方协商解决。</t>
  </si>
  <si>
    <t>十、本合同一式贰份，供需双方各持一份（签字，盖章后传真件有效）。</t>
  </si>
  <si>
    <t>十一、双方对权利义务或本合同相关事项另有约定的，双方须签订补充协议，与本合同具有同等法律效益。</t>
  </si>
  <si>
    <t>单位地址：</t>
  </si>
  <si>
    <t>浙江省台州市椒江区洪家街道灵香店园</t>
  </si>
  <si>
    <t>广州市天河区宦溪西路20号611、612房</t>
  </si>
  <si>
    <t>法定代表人或代理人签名：</t>
  </si>
  <si>
    <t>廖冬玲</t>
  </si>
  <si>
    <t>康小彪</t>
  </si>
  <si>
    <t>开户行：</t>
  </si>
  <si>
    <t>中国农业银行台州支行</t>
  </si>
  <si>
    <t>中国银行股份有限公司广州南国花园支行</t>
  </si>
  <si>
    <t>帐号：</t>
  </si>
  <si>
    <t>日期：</t>
  </si>
  <si>
    <t>（ 出库单）</t>
  </si>
  <si>
    <t xml:space="preserve">编制单位：                                 </t>
  </si>
  <si>
    <t>序号</t>
  </si>
  <si>
    <t>规格</t>
  </si>
  <si>
    <t>单位</t>
  </si>
  <si>
    <t>数量</t>
  </si>
  <si>
    <t>单价</t>
  </si>
  <si>
    <t>金额</t>
  </si>
  <si>
    <t>备注</t>
  </si>
  <si>
    <t>存根（白） 客户（红） 入帐（黄）</t>
  </si>
  <si>
    <t>个</t>
  </si>
  <si>
    <t>出库单位盖章：</t>
  </si>
  <si>
    <t>收货单位盖章：</t>
  </si>
  <si>
    <t xml:space="preserve">                Guangzhou Lion Claw Network Technology Co., Ltd.</t>
  </si>
  <si>
    <t xml:space="preserve">                Add: Room 611,612, No. 20, Huanxi West Road, Tianhe District, Guangzhou,China</t>
  </si>
  <si>
    <t>Proforma Invoice</t>
  </si>
  <si>
    <t>Buyer: HONGKONG DONGZHAO COMMERCE CO.,LIMITED</t>
  </si>
  <si>
    <t xml:space="preserve">Seller: </t>
  </si>
  <si>
    <t>Guangzhou Lion Claw Network Technology Co., Ltd.</t>
  </si>
  <si>
    <t>Add.: ROOM 1006, 10/F., PO YIP BUILDING, 23 HING YIP STREET, KWUN TONG, KOWLOON, HONG KONG</t>
  </si>
  <si>
    <t xml:space="preserve">Add.: </t>
  </si>
  <si>
    <t>Room 611-612, No. 20, Huanxi West Road, Tianhe District, Guangzhou,China</t>
  </si>
  <si>
    <t xml:space="preserve">Contact:  </t>
  </si>
  <si>
    <t xml:space="preserve"> ZEPENG KANG</t>
  </si>
  <si>
    <t>Contact:</t>
  </si>
  <si>
    <t>Xiaobiao Kang</t>
  </si>
  <si>
    <t xml:space="preserve">Email: </t>
  </si>
  <si>
    <t>373174403@qq.com</t>
  </si>
  <si>
    <t>Tel.13727995776</t>
  </si>
  <si>
    <t>Tel.</t>
  </si>
  <si>
    <t>13433701174</t>
  </si>
  <si>
    <t>Tax ID:76632835-000</t>
  </si>
  <si>
    <t xml:space="preserve">Contract No: </t>
  </si>
  <si>
    <t>GZSZ-2026042401、GZSZ-2026042402、GZSZ-2026042403、GZSZ-2026042404</t>
  </si>
  <si>
    <t>System Code</t>
  </si>
  <si>
    <t>Barcode</t>
  </si>
  <si>
    <t>Model No.</t>
  </si>
  <si>
    <t xml:space="preserve">Item Description </t>
  </si>
  <si>
    <t>Product Picture</t>
  </si>
  <si>
    <t>Packing</t>
  </si>
  <si>
    <t>Color</t>
  </si>
  <si>
    <t>Qty(PCS)</t>
  </si>
  <si>
    <t>Price</t>
  </si>
  <si>
    <t>L</t>
  </si>
  <si>
    <t>W</t>
  </si>
  <si>
    <t>H</t>
  </si>
  <si>
    <t>PCS/CTN</t>
  </si>
  <si>
    <t>CBM (m³)</t>
  </si>
  <si>
    <t>Amount</t>
  </si>
  <si>
    <t>PI No.</t>
  </si>
  <si>
    <t>Planning order No.</t>
  </si>
  <si>
    <t>GW(kgs)</t>
  </si>
  <si>
    <t>Total GW(kgs)</t>
  </si>
  <si>
    <t>Storage box</t>
  </si>
  <si>
    <t>3924900000</t>
  </si>
  <si>
    <t>Storage rack</t>
  </si>
  <si>
    <t>Toothbrush rack</t>
  </si>
  <si>
    <t>Towel rack</t>
  </si>
  <si>
    <t>Floor brush</t>
  </si>
  <si>
    <t>TOTAL:</t>
  </si>
  <si>
    <t>BALANCE:</t>
  </si>
  <si>
    <t>★ Brand:</t>
  </si>
  <si>
    <t>Shippment details:</t>
  </si>
  <si>
    <t>By sea</t>
  </si>
  <si>
    <t>★ Trade Term: FOB （After the goods are shipped, the risk of the goods is transferred, and the buyer shall bear the sea freight, insurance and other related expenses after leaving the country）</t>
  </si>
  <si>
    <t>Consignee:</t>
  </si>
  <si>
    <t xml:space="preserve">★ Payment Terms: </t>
  </si>
  <si>
    <t>Notify party:</t>
  </si>
  <si>
    <t xml:space="preserve">★ Production Time: </t>
  </si>
  <si>
    <t>Port of discharge:</t>
  </si>
  <si>
    <t>★ Shipment Mode: By sea</t>
  </si>
  <si>
    <t>Final destination:</t>
  </si>
  <si>
    <t xml:space="preserve">★ Bank informaiton: </t>
  </si>
  <si>
    <t>Remark:</t>
  </si>
  <si>
    <t>Beneficiary: Guangzhou Lion Claw Network Technology Co., Ltd.</t>
  </si>
  <si>
    <t>Beneficiary Address:Room 611-612, No. 20, Huanxi West Road, Tianhe District, Guangzhou,China</t>
  </si>
  <si>
    <t>Beneficiary's Bank: BANK OF CHINA GUANGZHOU NANGUO GARDEN SUB-BRANCH</t>
  </si>
  <si>
    <t>Bank Address: SHOP1-2,NO1-7,NANGUO 1STREET,PINGYUE ROAD,PEARL RIVER NEW TOWN,TIANHE DISTRICT,GUANGZHOU,CHINA</t>
  </si>
  <si>
    <t>Account No: 637974294993</t>
  </si>
  <si>
    <t xml:space="preserve">Swift Code: BKCHCNBJ42A </t>
  </si>
  <si>
    <t>Tax ID: 91440101MA9W5WJ16G</t>
  </si>
  <si>
    <r>
      <rPr>
        <sz val="11"/>
        <rFont val="微软雅黑"/>
        <charset val="134"/>
      </rPr>
      <t xml:space="preserve">★ Special Terms:
1. The fluctuation of US Dollar depends on daily Exchange Rate from Bank of China. Seller owns the right to change the unit price accordingly if the exchange rate from US Dollar to CNY decreases as much as 1.5% before the deposit arrival;
2.  The buyer needs to send package artwork files to seller within 15 working days after the order confirmation; After the deadline, the order will be queued up again and the material might be used by other orders after receipt of notcie from seller.;
3. The Seller shall give the buyer a loading notice at least 7 working days in advance and the buyer needs to arrange shipment within 30 days after the goods are ready. The buyer shall pay the buyer a storage fee of 0.05% of the total value of the goods per day if exceeds the due date; 
4. If the buyer fails to arrange delivery more than two months after goods ready notice sent by seller, the seller has the right to retain the advance payment and sell the goods to others;
5. All disputes should be referred to the Foreign Trade Arbitration Commission of the China Council for the Promotion of International Trade if unsettled by friendly negotiation.
                                      </t>
    </r>
    <r>
      <rPr>
        <b/>
        <sz val="11"/>
        <rFont val="微软雅黑"/>
        <charset val="134"/>
      </rPr>
      <t xml:space="preserve">                             Buyer:                                                                                                                                                                                           Seller:</t>
    </r>
  </si>
  <si>
    <t>中华人民共和国海关出口货物报关单</t>
  </si>
  <si>
    <t>预录入编号:                          海关编号:                           页码/页数</t>
  </si>
  <si>
    <t>境内发货人 (91440101MA9W5WJ16G)</t>
  </si>
  <si>
    <t>出境关别</t>
  </si>
  <si>
    <t>出口日期</t>
  </si>
  <si>
    <t>申报日期</t>
  </si>
  <si>
    <t>备案号</t>
  </si>
  <si>
    <t>境外收货人</t>
  </si>
  <si>
    <t>运输方式</t>
  </si>
  <si>
    <t>运输工具名称及航次号</t>
  </si>
  <si>
    <t>提运单号</t>
  </si>
  <si>
    <t>HONGKONG DONGZHAO COMMERCE CO.,LIMITED</t>
  </si>
  <si>
    <t>水路运输</t>
  </si>
  <si>
    <t>生产销售单位  (91440101MA9W5WJ16G)</t>
  </si>
  <si>
    <t>监管方式</t>
  </si>
  <si>
    <t>征免性质</t>
  </si>
  <si>
    <t>许可证号</t>
  </si>
  <si>
    <t>一般贸易</t>
  </si>
  <si>
    <t>一般征税</t>
  </si>
  <si>
    <t>合同协议号</t>
  </si>
  <si>
    <t>贸易国(地区)</t>
  </si>
  <si>
    <t>运抵国(地区)</t>
  </si>
  <si>
    <t>指运港</t>
  </si>
  <si>
    <t>离境口岸</t>
  </si>
  <si>
    <t>GZSZ-2026050201</t>
  </si>
  <si>
    <t>泰国</t>
  </si>
  <si>
    <t>包装种类</t>
  </si>
  <si>
    <t>件数</t>
  </si>
  <si>
    <t>毛重(千克)</t>
  </si>
  <si>
    <t>净重(千克)</t>
  </si>
  <si>
    <t>成交方式</t>
  </si>
  <si>
    <t>运费</t>
  </si>
  <si>
    <t>保费</t>
  </si>
  <si>
    <t>杂费</t>
  </si>
  <si>
    <t>编织袋包装/纸箱</t>
  </si>
  <si>
    <t>FOB</t>
  </si>
  <si>
    <t>随附单证及编号</t>
  </si>
  <si>
    <t>标记唛码及备注</t>
  </si>
  <si>
    <t>项号</t>
  </si>
  <si>
    <t>商品编号</t>
  </si>
  <si>
    <t>商品名称、规格型号</t>
  </si>
  <si>
    <t>数量及单位</t>
  </si>
  <si>
    <t>单价/总价/币制</t>
  </si>
  <si>
    <t>原产国（地区）</t>
  </si>
  <si>
    <t>最终目的国(地区)</t>
  </si>
  <si>
    <t>境内货源地</t>
  </si>
  <si>
    <t>征免</t>
  </si>
  <si>
    <r>
      <rPr>
        <sz val="7"/>
        <color rgb="FFFF0000"/>
        <rFont val="Arial"/>
        <charset val="134"/>
      </rPr>
      <t>545</t>
    </r>
    <r>
      <rPr>
        <sz val="7"/>
        <color rgb="FFFF0000"/>
        <rFont val="宋体"/>
        <charset val="134"/>
      </rPr>
      <t>个</t>
    </r>
  </si>
  <si>
    <t>中国</t>
  </si>
  <si>
    <t>浙江台州</t>
  </si>
  <si>
    <t>照章征税</t>
  </si>
  <si>
    <r>
      <rPr>
        <sz val="7"/>
        <color rgb="FFFF0000"/>
        <rFont val="Arial"/>
        <charset val="134"/>
      </rPr>
      <t>600</t>
    </r>
    <r>
      <rPr>
        <sz val="7"/>
        <color rgb="FFFF0000"/>
        <rFont val="宋体"/>
        <charset val="134"/>
      </rPr>
      <t>千克</t>
    </r>
  </si>
  <si>
    <t>美金</t>
  </si>
  <si>
    <r>
      <rPr>
        <sz val="7"/>
        <color rgb="FFFF0000"/>
        <rFont val="Arial"/>
        <charset val="134"/>
      </rPr>
      <t>3595</t>
    </r>
    <r>
      <rPr>
        <sz val="7"/>
        <color rgb="FFFF0000"/>
        <rFont val="宋体"/>
        <charset val="134"/>
      </rPr>
      <t>个</t>
    </r>
  </si>
  <si>
    <r>
      <rPr>
        <sz val="7"/>
        <color rgb="FFFF0000"/>
        <rFont val="Arial"/>
        <charset val="134"/>
      </rPr>
      <t>3100</t>
    </r>
    <r>
      <rPr>
        <sz val="7"/>
        <color rgb="FFFF0000"/>
        <rFont val="宋体"/>
        <charset val="134"/>
      </rPr>
      <t>千克</t>
    </r>
  </si>
  <si>
    <t>报关人员</t>
  </si>
  <si>
    <t>报关人员证号</t>
  </si>
  <si>
    <t>电话</t>
  </si>
  <si>
    <t>兹申明对以上内容承担如实申报、依法纳税等法律责任</t>
  </si>
  <si>
    <t>海关批注及签章</t>
  </si>
  <si>
    <t>申报单位</t>
  </si>
  <si>
    <t>申报单位（签章）</t>
  </si>
</sst>
</file>

<file path=xl/styles.xml><?xml version="1.0" encoding="utf-8"?>
<styleSheet xmlns="http://schemas.openxmlformats.org/spreadsheetml/2006/main" xmlns:mc="http://schemas.openxmlformats.org/markup-compatibility/2006" xmlns:xr9="http://schemas.microsoft.com/office/spreadsheetml/2016/revision9" mc:Ignorable="xr9">
  <numFmts count="17">
    <numFmt numFmtId="26" formatCode="\$#,##0.00_);[Red]\(\$#,##0.00\)"/>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0.00"/>
    <numFmt numFmtId="177" formatCode="&quot;￥&quot;#,##0.00_);[Red]\(&quot;￥&quot;#,##0.00\)"/>
    <numFmt numFmtId="178" formatCode="[$CNY]\ #,##0.00;[$CNY]\ \-#,##0.00"/>
    <numFmt numFmtId="179" formatCode="#,##0.00_);[Red]\(#,##0.00\)"/>
    <numFmt numFmtId="180" formatCode="#,##0_ "/>
    <numFmt numFmtId="181" formatCode="0.00_ "/>
    <numFmt numFmtId="182" formatCode="yyyy/m/d;@"/>
    <numFmt numFmtId="183" formatCode="0.00_);[Red]\(0.00\)"/>
    <numFmt numFmtId="184" formatCode="\¥#,##0.00;\¥\-#,##0.00"/>
    <numFmt numFmtId="185" formatCode="yyyy&quot;年&quot;m&quot;月&quot;d&quot;日&quot;;@"/>
    <numFmt numFmtId="186" formatCode="0_);[Red]\(0\)"/>
    <numFmt numFmtId="187" formatCode="0.000_ "/>
  </numFmts>
  <fonts count="75">
    <font>
      <sz val="11"/>
      <color theme="1"/>
      <name val="宋体"/>
      <charset val="134"/>
      <scheme val="minor"/>
    </font>
    <font>
      <b/>
      <sz val="16"/>
      <name val="宋体"/>
      <charset val="134"/>
    </font>
    <font>
      <sz val="8"/>
      <name val="宋体"/>
      <charset val="134"/>
    </font>
    <font>
      <sz val="8"/>
      <color rgb="FFFF0000"/>
      <name val="宋体"/>
      <charset val="134"/>
    </font>
    <font>
      <sz val="7"/>
      <color rgb="FFFF0000"/>
      <name val="宋体"/>
      <charset val="134"/>
      <scheme val="minor"/>
    </font>
    <font>
      <sz val="7"/>
      <color rgb="FFFF0000"/>
      <name val="Arial"/>
      <charset val="134"/>
    </font>
    <font>
      <sz val="7"/>
      <color rgb="FFFF0000"/>
      <name val="宋体"/>
      <charset val="134"/>
    </font>
    <font>
      <sz val="7"/>
      <color rgb="FF000000"/>
      <name val="宋体"/>
      <charset val="134"/>
    </font>
    <font>
      <sz val="7"/>
      <color rgb="FF000000"/>
      <name val="Arial"/>
      <charset val="134"/>
    </font>
    <font>
      <sz val="8"/>
      <color theme="1"/>
      <name val="宋体"/>
      <charset val="134"/>
      <scheme val="minor"/>
    </font>
    <font>
      <sz val="8"/>
      <color rgb="FF000000"/>
      <name val="Arial"/>
      <charset val="134"/>
    </font>
    <font>
      <sz val="8"/>
      <color rgb="FF000000"/>
      <name val="宋体"/>
      <charset val="134"/>
    </font>
    <font>
      <b/>
      <sz val="24"/>
      <name val="微软雅黑"/>
      <charset val="134"/>
    </font>
    <font>
      <sz val="10"/>
      <name val="微软雅黑"/>
      <charset val="134"/>
    </font>
    <font>
      <sz val="9"/>
      <name val="微软雅黑"/>
      <charset val="134"/>
    </font>
    <font>
      <b/>
      <sz val="20"/>
      <name val="微软雅黑"/>
      <charset val="134"/>
    </font>
    <font>
      <sz val="9"/>
      <name val="宋体"/>
      <charset val="134"/>
    </font>
    <font>
      <sz val="8"/>
      <name val="Tahoma"/>
      <charset val="134"/>
    </font>
    <font>
      <sz val="10"/>
      <color rgb="FFFF0000"/>
      <name val="微软雅黑"/>
      <charset val="134"/>
    </font>
    <font>
      <sz val="12"/>
      <color rgb="FFFF0000"/>
      <name val="宋体"/>
      <charset val="134"/>
    </font>
    <font>
      <sz val="9"/>
      <color rgb="FFFF0000"/>
      <name val="微软雅黑"/>
      <charset val="134"/>
    </font>
    <font>
      <sz val="12"/>
      <name val="宋体"/>
      <charset val="134"/>
    </font>
    <font>
      <u/>
      <sz val="11"/>
      <color rgb="FFFF0000"/>
      <name val="宋体"/>
      <charset val="134"/>
      <scheme val="minor"/>
    </font>
    <font>
      <u/>
      <sz val="10"/>
      <color rgb="FF800080"/>
      <name val="宋体"/>
      <charset val="134"/>
      <scheme val="minor"/>
    </font>
    <font>
      <u/>
      <sz val="10"/>
      <color rgb="FF800080"/>
      <name val="微软雅黑"/>
      <charset val="134"/>
    </font>
    <font>
      <sz val="10"/>
      <color rgb="FFFF0000"/>
      <name val="宋体"/>
      <charset val="134"/>
    </font>
    <font>
      <sz val="9"/>
      <color rgb="FFFF0000"/>
      <name val="宋体"/>
      <charset val="134"/>
    </font>
    <font>
      <b/>
      <sz val="9"/>
      <name val="微软雅黑"/>
      <charset val="134"/>
    </font>
    <font>
      <sz val="11"/>
      <color rgb="FFFF0000"/>
      <name val="Arial Unicode MS"/>
      <charset val="134"/>
    </font>
    <font>
      <b/>
      <sz val="10"/>
      <color rgb="FFFF0000"/>
      <name val="微软雅黑"/>
      <charset val="134"/>
    </font>
    <font>
      <b/>
      <sz val="9"/>
      <color rgb="FFFF0000"/>
      <name val="微软雅黑"/>
      <charset val="134"/>
    </font>
    <font>
      <sz val="12"/>
      <color rgb="FFFF0000"/>
      <name val="宋体"/>
      <charset val="134"/>
      <scheme val="minor"/>
    </font>
    <font>
      <sz val="11"/>
      <color rgb="FFFF0000"/>
      <name val="宋体"/>
      <charset val="134"/>
    </font>
    <font>
      <sz val="10"/>
      <color rgb="FFFF0000"/>
      <name val="Arial Unicode MS"/>
      <charset val="134"/>
    </font>
    <font>
      <sz val="11"/>
      <name val="Arial Unicode MS"/>
      <charset val="134"/>
    </font>
    <font>
      <sz val="11"/>
      <name val="微软雅黑"/>
      <charset val="134"/>
    </font>
    <font>
      <b/>
      <sz val="10"/>
      <name val="微软雅黑"/>
      <charset val="134"/>
    </font>
    <font>
      <sz val="11"/>
      <color rgb="FFFF0000"/>
      <name val="微软雅黑"/>
      <charset val="134"/>
    </font>
    <font>
      <sz val="12"/>
      <color rgb="FFFF0000"/>
      <name val="Arial Unicode MS"/>
      <charset val="134"/>
    </font>
    <font>
      <b/>
      <sz val="12"/>
      <color rgb="FFFF0000"/>
      <name val="Arial Unicode MS"/>
      <charset val="134"/>
    </font>
    <font>
      <sz val="11"/>
      <name val="宋体"/>
      <charset val="134"/>
    </font>
    <font>
      <b/>
      <sz val="8"/>
      <name val="微软雅黑"/>
      <charset val="134"/>
    </font>
    <font>
      <sz val="14"/>
      <color theme="1"/>
      <name val="宋体"/>
      <charset val="134"/>
      <scheme val="minor"/>
    </font>
    <font>
      <b/>
      <sz val="16"/>
      <color theme="1"/>
      <name val="仿宋"/>
      <charset val="134"/>
    </font>
    <font>
      <sz val="16"/>
      <color theme="1"/>
      <name val="仿宋"/>
      <charset val="134"/>
    </font>
    <font>
      <sz val="10"/>
      <color theme="1"/>
      <name val="仿宋"/>
      <charset val="134"/>
    </font>
    <font>
      <sz val="10"/>
      <color theme="1"/>
      <name val="宋体"/>
      <charset val="134"/>
      <scheme val="minor"/>
    </font>
    <font>
      <sz val="11"/>
      <color theme="1"/>
      <name val="仿宋"/>
      <charset val="134"/>
    </font>
    <font>
      <sz val="11"/>
      <color rgb="FFFF0000"/>
      <name val="仿宋"/>
      <charset val="134"/>
    </font>
    <font>
      <sz val="14"/>
      <color theme="1"/>
      <name val="仿宋"/>
      <charset val="134"/>
    </font>
    <font>
      <sz val="14"/>
      <color rgb="FFFF0000"/>
      <name val="仿宋"/>
      <charset val="134"/>
    </font>
    <font>
      <sz val="14"/>
      <name val="仿宋"/>
      <charset val="134"/>
    </font>
    <font>
      <b/>
      <sz val="14"/>
      <color rgb="FFFF0000"/>
      <name val="宋体"/>
      <charset val="134"/>
    </font>
    <font>
      <sz val="10"/>
      <name val="宋体"/>
      <charset val="134"/>
    </font>
    <font>
      <sz val="11"/>
      <color rgb="FFFF0000"/>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
      <b/>
      <sz val="11"/>
      <name val="微软雅黑"/>
      <charset val="134"/>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3">
    <border>
      <left/>
      <right/>
      <top/>
      <bottom/>
      <diagonal/>
    </border>
    <border>
      <left/>
      <right/>
      <top/>
      <bottom style="thin">
        <color auto="1"/>
      </bottom>
      <diagonal/>
    </border>
    <border>
      <left style="thin">
        <color auto="1"/>
      </left>
      <right/>
      <top style="thin">
        <color auto="1"/>
      </top>
      <bottom/>
      <diagonal/>
    </border>
    <border>
      <left/>
      <right/>
      <top style="thin">
        <color auto="1"/>
      </top>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diagonal/>
    </border>
    <border>
      <left style="thin">
        <color auto="1"/>
      </left>
      <right style="thin">
        <color auto="1"/>
      </right>
      <top/>
      <bottom style="thin">
        <color auto="1"/>
      </bottom>
      <diagonal/>
    </border>
    <border>
      <left/>
      <right style="thin">
        <color auto="1"/>
      </right>
      <top/>
      <bottom/>
      <diagonal/>
    </border>
    <border>
      <left/>
      <right style="thin">
        <color auto="1"/>
      </right>
      <top/>
      <bottom style="thin">
        <color auto="1"/>
      </bottom>
      <diagonal/>
    </border>
    <border>
      <left/>
      <right style="thin">
        <color auto="1"/>
      </right>
      <top style="thin">
        <color auto="1"/>
      </top>
      <bottom/>
      <diagonal/>
    </border>
    <border>
      <left style="thin">
        <color auto="1"/>
      </left>
      <right/>
      <top style="thin">
        <color auto="1"/>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55" fillId="0" borderId="0" applyNumberFormat="0" applyFill="0" applyBorder="0" applyAlignment="0" applyProtection="0">
      <alignment vertical="center"/>
    </xf>
    <xf numFmtId="0" fontId="56" fillId="0" borderId="0" applyNumberFormat="0" applyFill="0" applyBorder="0" applyAlignment="0" applyProtection="0">
      <alignment vertical="center"/>
    </xf>
    <xf numFmtId="0" fontId="0" fillId="2" borderId="15" applyNumberFormat="0" applyFont="0" applyAlignment="0" applyProtection="0">
      <alignment vertical="center"/>
    </xf>
    <xf numFmtId="0" fontId="57" fillId="0" borderId="0" applyNumberFormat="0" applyFill="0" applyBorder="0" applyAlignment="0" applyProtection="0">
      <alignment vertical="center"/>
    </xf>
    <xf numFmtId="0" fontId="58" fillId="0" borderId="0" applyNumberFormat="0" applyFill="0" applyBorder="0" applyAlignment="0" applyProtection="0">
      <alignment vertical="center"/>
    </xf>
    <xf numFmtId="0" fontId="59" fillId="0" borderId="0" applyNumberFormat="0" applyFill="0" applyBorder="0" applyAlignment="0" applyProtection="0">
      <alignment vertical="center"/>
    </xf>
    <xf numFmtId="0" fontId="60" fillId="0" borderId="16" applyNumberFormat="0" applyFill="0" applyAlignment="0" applyProtection="0">
      <alignment vertical="center"/>
    </xf>
    <xf numFmtId="0" fontId="61" fillId="0" borderId="16" applyNumberFormat="0" applyFill="0" applyAlignment="0" applyProtection="0">
      <alignment vertical="center"/>
    </xf>
    <xf numFmtId="0" fontId="62" fillId="0" borderId="17" applyNumberFormat="0" applyFill="0" applyAlignment="0" applyProtection="0">
      <alignment vertical="center"/>
    </xf>
    <xf numFmtId="0" fontId="62" fillId="0" borderId="0" applyNumberFormat="0" applyFill="0" applyBorder="0" applyAlignment="0" applyProtection="0">
      <alignment vertical="center"/>
    </xf>
    <xf numFmtId="0" fontId="63" fillId="3" borderId="18" applyNumberFormat="0" applyAlignment="0" applyProtection="0">
      <alignment vertical="center"/>
    </xf>
    <xf numFmtId="0" fontId="64" fillId="4" borderId="19" applyNumberFormat="0" applyAlignment="0" applyProtection="0">
      <alignment vertical="center"/>
    </xf>
    <xf numFmtId="0" fontId="65" fillId="4" borderId="18" applyNumberFormat="0" applyAlignment="0" applyProtection="0">
      <alignment vertical="center"/>
    </xf>
    <xf numFmtId="0" fontId="66" fillId="5" borderId="20" applyNumberFormat="0" applyAlignment="0" applyProtection="0">
      <alignment vertical="center"/>
    </xf>
    <xf numFmtId="0" fontId="67" fillId="0" borderId="21" applyNumberFormat="0" applyFill="0" applyAlignment="0" applyProtection="0">
      <alignment vertical="center"/>
    </xf>
    <xf numFmtId="0" fontId="68" fillId="0" borderId="22" applyNumberFormat="0" applyFill="0" applyAlignment="0" applyProtection="0">
      <alignment vertical="center"/>
    </xf>
    <xf numFmtId="0" fontId="69" fillId="6" borderId="0" applyNumberFormat="0" applyBorder="0" applyAlignment="0" applyProtection="0">
      <alignment vertical="center"/>
    </xf>
    <xf numFmtId="0" fontId="70" fillId="7" borderId="0" applyNumberFormat="0" applyBorder="0" applyAlignment="0" applyProtection="0">
      <alignment vertical="center"/>
    </xf>
    <xf numFmtId="0" fontId="71" fillId="8" borderId="0" applyNumberFormat="0" applyBorder="0" applyAlignment="0" applyProtection="0">
      <alignment vertical="center"/>
    </xf>
    <xf numFmtId="0" fontId="72" fillId="9" borderId="0" applyNumberFormat="0" applyBorder="0" applyAlignment="0" applyProtection="0">
      <alignment vertical="center"/>
    </xf>
    <xf numFmtId="0" fontId="73" fillId="10" borderId="0" applyNumberFormat="0" applyBorder="0" applyAlignment="0" applyProtection="0">
      <alignment vertical="center"/>
    </xf>
    <xf numFmtId="0" fontId="73" fillId="11" borderId="0" applyNumberFormat="0" applyBorder="0" applyAlignment="0" applyProtection="0">
      <alignment vertical="center"/>
    </xf>
    <xf numFmtId="0" fontId="72" fillId="12" borderId="0" applyNumberFormat="0" applyBorder="0" applyAlignment="0" applyProtection="0">
      <alignment vertical="center"/>
    </xf>
    <xf numFmtId="0" fontId="72" fillId="13" borderId="0" applyNumberFormat="0" applyBorder="0" applyAlignment="0" applyProtection="0">
      <alignment vertical="center"/>
    </xf>
    <xf numFmtId="0" fontId="73" fillId="14" borderId="0" applyNumberFormat="0" applyBorder="0" applyAlignment="0" applyProtection="0">
      <alignment vertical="center"/>
    </xf>
    <xf numFmtId="0" fontId="73" fillId="15" borderId="0" applyNumberFormat="0" applyBorder="0" applyAlignment="0" applyProtection="0">
      <alignment vertical="center"/>
    </xf>
    <xf numFmtId="0" fontId="72" fillId="16" borderId="0" applyNumberFormat="0" applyBorder="0" applyAlignment="0" applyProtection="0">
      <alignment vertical="center"/>
    </xf>
    <xf numFmtId="0" fontId="72" fillId="17" borderId="0" applyNumberFormat="0" applyBorder="0" applyAlignment="0" applyProtection="0">
      <alignment vertical="center"/>
    </xf>
    <xf numFmtId="0" fontId="73" fillId="18" borderId="0" applyNumberFormat="0" applyBorder="0" applyAlignment="0" applyProtection="0">
      <alignment vertical="center"/>
    </xf>
    <xf numFmtId="0" fontId="73" fillId="19" borderId="0" applyNumberFormat="0" applyBorder="0" applyAlignment="0" applyProtection="0">
      <alignment vertical="center"/>
    </xf>
    <xf numFmtId="0" fontId="72" fillId="20" borderId="0" applyNumberFormat="0" applyBorder="0" applyAlignment="0" applyProtection="0">
      <alignment vertical="center"/>
    </xf>
    <xf numFmtId="0" fontId="72" fillId="21" borderId="0" applyNumberFormat="0" applyBorder="0" applyAlignment="0" applyProtection="0">
      <alignment vertical="center"/>
    </xf>
    <xf numFmtId="0" fontId="73" fillId="22" borderId="0" applyNumberFormat="0" applyBorder="0" applyAlignment="0" applyProtection="0">
      <alignment vertical="center"/>
    </xf>
    <xf numFmtId="0" fontId="73" fillId="23" borderId="0" applyNumberFormat="0" applyBorder="0" applyAlignment="0" applyProtection="0">
      <alignment vertical="center"/>
    </xf>
    <xf numFmtId="0" fontId="72" fillId="24" borderId="0" applyNumberFormat="0" applyBorder="0" applyAlignment="0" applyProtection="0">
      <alignment vertical="center"/>
    </xf>
    <xf numFmtId="0" fontId="72" fillId="25" borderId="0" applyNumberFormat="0" applyBorder="0" applyAlignment="0" applyProtection="0">
      <alignment vertical="center"/>
    </xf>
    <xf numFmtId="0" fontId="73" fillId="26" borderId="0" applyNumberFormat="0" applyBorder="0" applyAlignment="0" applyProtection="0">
      <alignment vertical="center"/>
    </xf>
    <xf numFmtId="0" fontId="73" fillId="27" borderId="0" applyNumberFormat="0" applyBorder="0" applyAlignment="0" applyProtection="0">
      <alignment vertical="center"/>
    </xf>
    <xf numFmtId="0" fontId="72" fillId="28" borderId="0" applyNumberFormat="0" applyBorder="0" applyAlignment="0" applyProtection="0">
      <alignment vertical="center"/>
    </xf>
    <xf numFmtId="0" fontId="72" fillId="29" borderId="0" applyNumberFormat="0" applyBorder="0" applyAlignment="0" applyProtection="0">
      <alignment vertical="center"/>
    </xf>
    <xf numFmtId="0" fontId="73" fillId="30" borderId="0" applyNumberFormat="0" applyBorder="0" applyAlignment="0" applyProtection="0">
      <alignment vertical="center"/>
    </xf>
    <xf numFmtId="0" fontId="73" fillId="31" borderId="0" applyNumberFormat="0" applyBorder="0" applyAlignment="0" applyProtection="0">
      <alignment vertical="center"/>
    </xf>
    <xf numFmtId="0" fontId="72" fillId="32" borderId="0" applyNumberFormat="0" applyBorder="0" applyAlignment="0" applyProtection="0">
      <alignment vertical="center"/>
    </xf>
  </cellStyleXfs>
  <cellXfs count="231">
    <xf numFmtId="0" fontId="0" fillId="0" borderId="0" xfId="0">
      <alignment vertical="center"/>
    </xf>
    <xf numFmtId="0" fontId="0" fillId="0" borderId="0" xfId="0" applyAlignment="1">
      <alignment horizontal="left" vertical="center"/>
    </xf>
    <xf numFmtId="0" fontId="1" fillId="0" borderId="0" xfId="0" applyFont="1" applyFill="1" applyBorder="1" applyAlignment="1">
      <alignment horizontal="center" vertical="center"/>
    </xf>
    <xf numFmtId="0" fontId="2" fillId="0" borderId="1" xfId="0" applyFont="1" applyFill="1" applyBorder="1" applyAlignment="1">
      <alignment horizontal="left" vertical="center"/>
    </xf>
    <xf numFmtId="0" fontId="2" fillId="0" borderId="0" xfId="0" applyFont="1" applyFill="1" applyBorder="1" applyAlignment="1">
      <alignment horizontal="left" vertical="center"/>
    </xf>
    <xf numFmtId="0" fontId="2" fillId="0" borderId="2" xfId="0" applyFont="1" applyFill="1" applyBorder="1" applyAlignment="1">
      <alignment horizontal="left" vertical="center"/>
    </xf>
    <xf numFmtId="0" fontId="2" fillId="0" borderId="3" xfId="0" applyFont="1" applyFill="1" applyBorder="1" applyAlignment="1">
      <alignment horizontal="left" vertical="center"/>
    </xf>
    <xf numFmtId="0" fontId="2" fillId="0" borderId="4" xfId="0" applyFont="1" applyFill="1" applyBorder="1" applyAlignment="1">
      <alignment horizontal="left" vertical="top" wrapText="1"/>
    </xf>
    <xf numFmtId="0" fontId="2" fillId="0" borderId="4" xfId="0" applyFont="1" applyFill="1" applyBorder="1" applyAlignment="1">
      <alignment horizontal="left" vertical="top"/>
    </xf>
    <xf numFmtId="0" fontId="2" fillId="0" borderId="5" xfId="0" applyFont="1" applyFill="1" applyBorder="1" applyAlignment="1">
      <alignment horizontal="left" vertical="center" wrapText="1"/>
    </xf>
    <xf numFmtId="0" fontId="2" fillId="0" borderId="1" xfId="0" applyFont="1" applyFill="1" applyBorder="1" applyAlignment="1">
      <alignment horizontal="left" vertical="center" wrapText="1"/>
    </xf>
    <xf numFmtId="0" fontId="2" fillId="0" borderId="6" xfId="0" applyFont="1" applyFill="1" applyBorder="1" applyAlignment="1">
      <alignment horizontal="left" vertical="top" wrapText="1"/>
    </xf>
    <xf numFmtId="0" fontId="2" fillId="0" borderId="7" xfId="0" applyFont="1" applyFill="1" applyBorder="1" applyAlignment="1">
      <alignment horizontal="left" vertical="center" wrapText="1"/>
    </xf>
    <xf numFmtId="0" fontId="2" fillId="0" borderId="0" xfId="0" applyFont="1" applyFill="1" applyBorder="1" applyAlignment="1">
      <alignment horizontal="left" vertical="center" wrapText="1"/>
    </xf>
    <xf numFmtId="0" fontId="2" fillId="0" borderId="7" xfId="0" applyFont="1" applyFill="1" applyBorder="1" applyAlignment="1">
      <alignment horizontal="left" vertical="top" wrapText="1"/>
    </xf>
    <xf numFmtId="0" fontId="2" fillId="0" borderId="8" xfId="0" applyFont="1" applyFill="1" applyBorder="1" applyAlignment="1">
      <alignment horizontal="left" vertical="top" wrapText="1"/>
    </xf>
    <xf numFmtId="0" fontId="3" fillId="0" borderId="5" xfId="0" applyFont="1" applyFill="1" applyBorder="1" applyAlignment="1">
      <alignment horizontal="left" vertical="center" wrapText="1"/>
    </xf>
    <xf numFmtId="0" fontId="3" fillId="0" borderId="1" xfId="0" applyFont="1" applyFill="1" applyBorder="1" applyAlignment="1">
      <alignment horizontal="left" vertical="center" wrapText="1"/>
    </xf>
    <xf numFmtId="0" fontId="2" fillId="0" borderId="5" xfId="0" applyFont="1" applyFill="1" applyBorder="1" applyAlignment="1">
      <alignment horizontal="left" vertical="top" wrapText="1"/>
    </xf>
    <xf numFmtId="0" fontId="2" fillId="0" borderId="9" xfId="0" applyFont="1" applyFill="1" applyBorder="1" applyAlignment="1">
      <alignment horizontal="left" vertical="top" wrapText="1"/>
    </xf>
    <xf numFmtId="0" fontId="2" fillId="0" borderId="10" xfId="0" applyFont="1" applyFill="1" applyBorder="1" applyAlignment="1">
      <alignment horizontal="left" vertical="top" wrapText="1"/>
    </xf>
    <xf numFmtId="0" fontId="2" fillId="0" borderId="0" xfId="0" applyFont="1" applyFill="1" applyBorder="1" applyAlignment="1">
      <alignment horizontal="left" vertical="top" wrapText="1"/>
    </xf>
    <xf numFmtId="0" fontId="2" fillId="0" borderId="2" xfId="0" applyFont="1" applyFill="1" applyBorder="1" applyAlignment="1">
      <alignment horizontal="left" vertical="top" wrapText="1"/>
    </xf>
    <xf numFmtId="0" fontId="2" fillId="0" borderId="11" xfId="0" applyFont="1" applyFill="1" applyBorder="1" applyAlignment="1">
      <alignment horizontal="left" vertical="top" wrapText="1"/>
    </xf>
    <xf numFmtId="0" fontId="2" fillId="0" borderId="1" xfId="0" applyFont="1" applyFill="1" applyBorder="1" applyAlignment="1">
      <alignment horizontal="left" vertical="top" wrapText="1"/>
    </xf>
    <xf numFmtId="0" fontId="2" fillId="0" borderId="6" xfId="0" applyFont="1" applyFill="1" applyBorder="1" applyAlignment="1">
      <alignment horizontal="left" vertical="top"/>
    </xf>
    <xf numFmtId="0" fontId="2" fillId="0" borderId="10" xfId="0" applyFont="1" applyFill="1" applyBorder="1" applyAlignment="1">
      <alignment horizontal="left" vertical="center" wrapText="1"/>
    </xf>
    <xf numFmtId="0" fontId="2" fillId="0" borderId="0" xfId="0" applyFont="1" applyFill="1" applyBorder="1" applyAlignment="1">
      <alignment horizontal="left" vertical="top"/>
    </xf>
    <xf numFmtId="0" fontId="2" fillId="0" borderId="10" xfId="0" applyFont="1" applyFill="1" applyBorder="1" applyAlignment="1">
      <alignment horizontal="left" vertical="top"/>
    </xf>
    <xf numFmtId="0" fontId="2" fillId="0" borderId="12" xfId="0" applyFont="1" applyFill="1" applyBorder="1" applyAlignment="1">
      <alignment horizontal="left" vertical="top"/>
    </xf>
    <xf numFmtId="0" fontId="3" fillId="0" borderId="11" xfId="0" applyFont="1" applyFill="1" applyBorder="1" applyAlignment="1">
      <alignment horizontal="left" vertical="center" wrapText="1"/>
    </xf>
    <xf numFmtId="0" fontId="3" fillId="0" borderId="1" xfId="0" applyFont="1" applyFill="1" applyBorder="1" applyAlignment="1">
      <alignment horizontal="left" vertical="top"/>
    </xf>
    <xf numFmtId="0" fontId="3" fillId="0" borderId="11" xfId="0" applyFont="1" applyFill="1" applyBorder="1" applyAlignment="1">
      <alignment horizontal="left" vertical="top"/>
    </xf>
    <xf numFmtId="0" fontId="3" fillId="0" borderId="9" xfId="0" applyFont="1" applyFill="1" applyBorder="1" applyAlignment="1">
      <alignment horizontal="left" vertical="top"/>
    </xf>
    <xf numFmtId="0" fontId="2" fillId="0" borderId="8" xfId="0" applyFont="1" applyFill="1" applyBorder="1" applyAlignment="1">
      <alignment horizontal="left" vertical="center" wrapText="1"/>
    </xf>
    <xf numFmtId="0" fontId="2" fillId="0" borderId="12" xfId="0" applyFont="1" applyFill="1" applyBorder="1" applyAlignment="1">
      <alignment horizontal="left" vertical="center" wrapText="1"/>
    </xf>
    <xf numFmtId="0" fontId="2" fillId="0" borderId="8" xfId="0" applyFont="1" applyFill="1" applyBorder="1" applyAlignment="1">
      <alignment horizontal="left" vertical="top"/>
    </xf>
    <xf numFmtId="0" fontId="3" fillId="0" borderId="7" xfId="0" applyFont="1" applyFill="1" applyBorder="1" applyAlignment="1">
      <alignment horizontal="left" vertical="center" wrapText="1"/>
    </xf>
    <xf numFmtId="0" fontId="3" fillId="0" borderId="9" xfId="0" applyFont="1" applyFill="1" applyBorder="1" applyAlignment="1">
      <alignment horizontal="left" vertical="center" wrapText="1"/>
    </xf>
    <xf numFmtId="0" fontId="3" fillId="0" borderId="10" xfId="0" applyFont="1" applyFill="1" applyBorder="1" applyAlignment="1">
      <alignment horizontal="left" vertical="center" wrapText="1"/>
    </xf>
    <xf numFmtId="0" fontId="2" fillId="0" borderId="9" xfId="0" applyFont="1" applyFill="1" applyBorder="1" applyAlignment="1">
      <alignment horizontal="left" vertical="top"/>
    </xf>
    <xf numFmtId="0" fontId="2" fillId="0" borderId="13" xfId="0" applyFont="1" applyFill="1" applyBorder="1" applyAlignment="1">
      <alignment horizontal="center" vertical="center" wrapText="1"/>
    </xf>
    <xf numFmtId="0" fontId="2" fillId="0" borderId="14" xfId="0" applyFont="1" applyFill="1" applyBorder="1" applyAlignment="1">
      <alignment horizontal="center" vertical="center" wrapText="1"/>
    </xf>
    <xf numFmtId="0" fontId="2" fillId="0" borderId="6" xfId="0" applyFont="1" applyFill="1" applyBorder="1" applyAlignment="1">
      <alignment horizontal="center" vertical="center" wrapText="1"/>
    </xf>
    <xf numFmtId="0" fontId="4" fillId="0" borderId="13" xfId="0" applyFont="1" applyBorder="1" applyAlignment="1">
      <alignment horizontal="center" vertical="center"/>
    </xf>
    <xf numFmtId="0" fontId="5" fillId="0" borderId="14" xfId="0" applyFont="1" applyBorder="1" applyAlignment="1">
      <alignment horizontal="center" vertical="center"/>
    </xf>
    <xf numFmtId="0" fontId="6" fillId="0" borderId="14" xfId="0" applyFont="1" applyBorder="1" applyAlignment="1">
      <alignment horizontal="center" vertical="center"/>
    </xf>
    <xf numFmtId="0" fontId="5" fillId="0" borderId="0" xfId="0" applyFont="1" applyBorder="1" applyAlignment="1">
      <alignment horizontal="center" vertical="center"/>
    </xf>
    <xf numFmtId="0" fontId="7" fillId="0" borderId="14" xfId="0" applyFont="1" applyBorder="1" applyAlignment="1">
      <alignment horizontal="center" vertical="center"/>
    </xf>
    <xf numFmtId="0" fontId="7" fillId="0" borderId="6" xfId="0" applyFont="1" applyBorder="1" applyAlignment="1">
      <alignment horizontal="center" vertical="center"/>
    </xf>
    <xf numFmtId="0" fontId="4" fillId="0" borderId="0" xfId="0" applyFont="1" applyBorder="1" applyAlignment="1">
      <alignment horizontal="center" vertical="center"/>
    </xf>
    <xf numFmtId="0" fontId="8" fillId="0" borderId="14" xfId="0" applyFont="1" applyBorder="1" applyAlignment="1">
      <alignment horizontal="center" vertical="center"/>
    </xf>
    <xf numFmtId="0" fontId="8" fillId="0" borderId="6" xfId="0" applyFont="1" applyBorder="1" applyAlignment="1">
      <alignment horizontal="center" vertical="center"/>
    </xf>
    <xf numFmtId="0" fontId="5" fillId="0" borderId="1" xfId="0" applyFont="1" applyBorder="1" applyAlignment="1">
      <alignment horizontal="center" vertical="center"/>
    </xf>
    <xf numFmtId="0" fontId="6" fillId="0" borderId="1" xfId="0" applyFont="1" applyBorder="1" applyAlignment="1">
      <alignment horizontal="center" vertical="center"/>
    </xf>
    <xf numFmtId="0" fontId="9" fillId="0" borderId="13" xfId="0" applyFont="1" applyBorder="1" applyAlignment="1">
      <alignment horizontal="center" vertical="center"/>
    </xf>
    <xf numFmtId="0" fontId="10" fillId="0" borderId="14" xfId="0" applyFont="1" applyBorder="1" applyAlignment="1">
      <alignment horizontal="center" vertical="center"/>
    </xf>
    <xf numFmtId="0" fontId="11" fillId="0" borderId="14" xfId="0" applyFont="1" applyBorder="1" applyAlignment="1">
      <alignment horizontal="center" vertical="center"/>
    </xf>
    <xf numFmtId="0" fontId="10" fillId="0" borderId="0" xfId="0" applyFont="1" applyBorder="1" applyAlignment="1">
      <alignment horizontal="center" vertical="center"/>
    </xf>
    <xf numFmtId="0" fontId="11" fillId="0" borderId="6" xfId="0" applyFont="1" applyBorder="1" applyAlignment="1">
      <alignment horizontal="center" vertical="center"/>
    </xf>
    <xf numFmtId="0" fontId="9" fillId="0" borderId="0" xfId="0" applyFont="1" applyBorder="1" applyAlignment="1">
      <alignment horizontal="center" vertical="center"/>
    </xf>
    <xf numFmtId="0" fontId="10" fillId="0" borderId="6" xfId="0" applyFont="1" applyBorder="1" applyAlignment="1">
      <alignment horizontal="center" vertical="center"/>
    </xf>
    <xf numFmtId="0" fontId="10" fillId="0" borderId="1" xfId="0" applyFont="1" applyBorder="1" applyAlignment="1">
      <alignment horizontal="center" vertical="center"/>
    </xf>
    <xf numFmtId="0" fontId="11" fillId="0" borderId="1" xfId="0" applyFont="1" applyBorder="1" applyAlignment="1">
      <alignment horizontal="center" vertical="center"/>
    </xf>
    <xf numFmtId="0" fontId="9" fillId="0" borderId="13" xfId="0" applyFont="1" applyBorder="1" applyAlignment="1">
      <alignment horizontal="left" vertical="center" wrapText="1"/>
    </xf>
    <xf numFmtId="0" fontId="9" fillId="0" borderId="14" xfId="0" applyFont="1" applyBorder="1" applyAlignment="1">
      <alignment horizontal="left" vertical="center" wrapText="1"/>
    </xf>
    <xf numFmtId="0" fontId="11" fillId="0" borderId="3" xfId="0" applyFont="1" applyBorder="1" applyAlignment="1">
      <alignment horizontal="left" vertical="center" wrapText="1"/>
    </xf>
    <xf numFmtId="0" fontId="11" fillId="0" borderId="3" xfId="0" applyFont="1" applyBorder="1" applyAlignment="1">
      <alignment horizontal="center" vertical="center" wrapText="1"/>
    </xf>
    <xf numFmtId="0" fontId="9" fillId="0" borderId="6" xfId="0" applyFont="1" applyBorder="1" applyAlignment="1">
      <alignment horizontal="left" vertical="center" wrapText="1"/>
    </xf>
    <xf numFmtId="0" fontId="11" fillId="0" borderId="0" xfId="0" applyFont="1" applyAlignment="1">
      <alignment horizontal="left" vertical="center" wrapText="1"/>
    </xf>
    <xf numFmtId="0" fontId="11" fillId="0" borderId="0" xfId="0" applyFont="1" applyAlignment="1">
      <alignment horizontal="center" vertical="center" wrapText="1"/>
    </xf>
    <xf numFmtId="0" fontId="11" fillId="0" borderId="1" xfId="0" applyFont="1" applyBorder="1" applyAlignment="1">
      <alignment horizontal="left" vertical="center" wrapText="1"/>
    </xf>
    <xf numFmtId="0" fontId="11" fillId="0" borderId="1" xfId="0" applyFont="1" applyBorder="1" applyAlignment="1">
      <alignment horizontal="center" vertical="center" wrapText="1"/>
    </xf>
    <xf numFmtId="0" fontId="11" fillId="0" borderId="13" xfId="0" applyFont="1" applyBorder="1" applyAlignment="1">
      <alignment horizontal="left" vertical="center"/>
    </xf>
    <xf numFmtId="0" fontId="11" fillId="0" borderId="14" xfId="0" applyFont="1" applyBorder="1" applyAlignment="1">
      <alignment horizontal="left" vertical="center"/>
    </xf>
    <xf numFmtId="0" fontId="11" fillId="0" borderId="6" xfId="0" applyFont="1" applyBorder="1" applyAlignment="1">
      <alignment horizontal="left" vertical="center"/>
    </xf>
    <xf numFmtId="0" fontId="0" fillId="0" borderId="0" xfId="0" applyAlignment="1">
      <alignment vertical="center" wrapText="1"/>
    </xf>
    <xf numFmtId="49" fontId="12" fillId="0" borderId="0" xfId="0" applyNumberFormat="1" applyFont="1" applyFill="1" applyAlignment="1">
      <alignment horizontal="center" vertical="center"/>
    </xf>
    <xf numFmtId="49" fontId="12" fillId="0" borderId="0" xfId="0" applyNumberFormat="1" applyFont="1" applyFill="1" applyAlignment="1">
      <alignment vertical="center"/>
    </xf>
    <xf numFmtId="49" fontId="13" fillId="0" borderId="0" xfId="0" applyNumberFormat="1" applyFont="1" applyFill="1" applyAlignment="1">
      <alignment horizontal="center" vertical="center"/>
    </xf>
    <xf numFmtId="49" fontId="14" fillId="0" borderId="0" xfId="0" applyNumberFormat="1" applyFont="1" applyFill="1" applyAlignment="1">
      <alignment vertical="center"/>
    </xf>
    <xf numFmtId="49" fontId="15" fillId="0" borderId="0" xfId="0" applyNumberFormat="1" applyFont="1" applyFill="1" applyAlignment="1">
      <alignment horizontal="center" vertical="center"/>
    </xf>
    <xf numFmtId="49" fontId="15" fillId="0" borderId="0" xfId="0" applyNumberFormat="1" applyFont="1" applyFill="1" applyAlignment="1">
      <alignment vertical="center"/>
    </xf>
    <xf numFmtId="49" fontId="16" fillId="0" borderId="0" xfId="0" applyNumberFormat="1" applyFont="1" applyFill="1" applyAlignment="1">
      <alignment horizontal="center" vertical="center"/>
    </xf>
    <xf numFmtId="0" fontId="17" fillId="0" borderId="0" xfId="0" applyFont="1" applyFill="1" applyAlignment="1">
      <alignment horizontal="left" vertical="top"/>
    </xf>
    <xf numFmtId="49" fontId="18" fillId="0" borderId="0" xfId="0" applyNumberFormat="1" applyFont="1" applyFill="1" applyAlignment="1">
      <alignment vertical="center"/>
    </xf>
    <xf numFmtId="0" fontId="19" fillId="0" borderId="0" xfId="0" applyFont="1" applyFill="1">
      <alignment vertical="center"/>
    </xf>
    <xf numFmtId="0" fontId="19" fillId="0" borderId="0" xfId="0" applyFont="1" applyFill="1" applyAlignment="1">
      <alignment horizontal="center" vertical="center"/>
    </xf>
    <xf numFmtId="49" fontId="20" fillId="0" borderId="0" xfId="0" applyNumberFormat="1" applyFont="1" applyFill="1" applyAlignment="1">
      <alignment vertical="center"/>
    </xf>
    <xf numFmtId="49" fontId="13" fillId="0" borderId="0" xfId="0" applyNumberFormat="1" applyFont="1" applyFill="1" applyAlignment="1">
      <alignment horizontal="left" vertical="center"/>
    </xf>
    <xf numFmtId="26" fontId="21" fillId="0" borderId="0" xfId="0" applyNumberFormat="1" applyFont="1" applyFill="1">
      <alignment vertical="center"/>
    </xf>
    <xf numFmtId="176" fontId="21" fillId="0" borderId="0" xfId="0" applyNumberFormat="1" applyFont="1" applyFill="1" applyAlignment="1">
      <alignment horizontal="center" vertical="center"/>
    </xf>
    <xf numFmtId="49" fontId="18" fillId="0" borderId="0" xfId="0" applyNumberFormat="1" applyFont="1" applyFill="1" applyAlignment="1">
      <alignment horizontal="left" vertical="center" wrapText="1"/>
    </xf>
    <xf numFmtId="49" fontId="14" fillId="0" borderId="0" xfId="0" applyNumberFormat="1" applyFont="1" applyFill="1" applyAlignment="1">
      <alignment vertical="center" wrapText="1"/>
    </xf>
    <xf numFmtId="49" fontId="13" fillId="0" borderId="0" xfId="0" applyNumberFormat="1" applyFont="1" applyFill="1" applyAlignment="1">
      <alignment horizontal="left" vertical="center" wrapText="1"/>
    </xf>
    <xf numFmtId="49" fontId="18" fillId="0" borderId="0" xfId="0" applyNumberFormat="1" applyFont="1" applyFill="1" applyAlignment="1">
      <alignment horizontal="left" vertical="center"/>
    </xf>
    <xf numFmtId="49" fontId="20" fillId="0" borderId="0" xfId="0" applyNumberFormat="1" applyFont="1" applyFill="1" applyAlignment="1">
      <alignment vertical="center" wrapText="1"/>
    </xf>
    <xf numFmtId="49" fontId="13" fillId="0" borderId="0" xfId="0" applyNumberFormat="1" applyFont="1" applyFill="1" applyAlignment="1">
      <alignment horizontal="center" vertical="center" wrapText="1"/>
    </xf>
    <xf numFmtId="49" fontId="22" fillId="0" borderId="0" xfId="6" applyNumberFormat="1" applyFont="1" applyFill="1" applyAlignment="1">
      <alignment horizontal="left" vertical="center"/>
    </xf>
    <xf numFmtId="49" fontId="23" fillId="0" borderId="0" xfId="6" applyNumberFormat="1" applyFont="1" applyFill="1" applyAlignment="1">
      <alignment horizontal="left" vertical="center" wrapText="1"/>
    </xf>
    <xf numFmtId="49" fontId="18" fillId="0" borderId="0" xfId="0" applyNumberFormat="1" applyFont="1" applyFill="1" applyBorder="1" applyAlignment="1">
      <alignment vertical="center"/>
    </xf>
    <xf numFmtId="49" fontId="24" fillId="0" borderId="0" xfId="6" applyNumberFormat="1" applyFont="1" applyFill="1" applyAlignment="1">
      <alignment horizontal="center" vertical="center" wrapText="1"/>
    </xf>
    <xf numFmtId="49" fontId="23" fillId="0" borderId="0" xfId="6" applyNumberFormat="1" applyFont="1" applyFill="1" applyAlignment="1">
      <alignment horizontal="center" vertical="center" wrapText="1"/>
    </xf>
    <xf numFmtId="49" fontId="25" fillId="0" borderId="0" xfId="0" applyNumberFormat="1" applyFont="1" applyFill="1" applyAlignment="1">
      <alignment horizontal="center" vertical="center"/>
    </xf>
    <xf numFmtId="49" fontId="26" fillId="0" borderId="0" xfId="0" applyNumberFormat="1" applyFont="1" applyFill="1" applyAlignment="1">
      <alignment horizontal="center" vertical="center"/>
    </xf>
    <xf numFmtId="49" fontId="16" fillId="0" borderId="0" xfId="0" applyNumberFormat="1" applyFont="1" applyFill="1" applyAlignment="1">
      <alignment vertical="center"/>
    </xf>
    <xf numFmtId="49" fontId="27" fillId="0" borderId="4" xfId="0" applyNumberFormat="1" applyFont="1" applyFill="1" applyBorder="1" applyAlignment="1">
      <alignment horizontal="center" vertical="center" wrapText="1"/>
    </xf>
    <xf numFmtId="0" fontId="28" fillId="0" borderId="4" xfId="0" applyNumberFormat="1" applyFont="1" applyFill="1" applyBorder="1" applyAlignment="1">
      <alignment horizontal="center" vertical="center"/>
    </xf>
    <xf numFmtId="49" fontId="29" fillId="0" borderId="4" xfId="0" applyNumberFormat="1" applyFont="1" applyFill="1" applyBorder="1" applyAlignment="1">
      <alignment horizontal="center" vertical="center"/>
    </xf>
    <xf numFmtId="49" fontId="28" fillId="0" borderId="4" xfId="0" applyNumberFormat="1" applyFont="1" applyFill="1" applyBorder="1" applyAlignment="1">
      <alignment horizontal="center" vertical="center" wrapText="1"/>
    </xf>
    <xf numFmtId="49" fontId="30" fillId="0" borderId="4" xfId="0" applyNumberFormat="1" applyFont="1" applyFill="1" applyBorder="1" applyAlignment="1">
      <alignment horizontal="center" vertical="center"/>
    </xf>
    <xf numFmtId="0" fontId="28" fillId="0" borderId="4" xfId="0" applyFont="1" applyFill="1" applyBorder="1" applyAlignment="1">
      <alignment horizontal="center" vertical="center" wrapText="1"/>
    </xf>
    <xf numFmtId="177" fontId="28" fillId="0" borderId="4" xfId="0" applyNumberFormat="1" applyFont="1" applyFill="1" applyBorder="1" applyAlignment="1">
      <alignment horizontal="center" vertical="center"/>
    </xf>
    <xf numFmtId="178" fontId="28" fillId="0" borderId="4" xfId="0" applyNumberFormat="1" applyFont="1" applyFill="1" applyBorder="1" applyAlignment="1">
      <alignment horizontal="center" vertical="center"/>
    </xf>
    <xf numFmtId="49" fontId="27" fillId="0" borderId="4" xfId="0" applyNumberFormat="1" applyFont="1" applyFill="1" applyBorder="1" applyAlignment="1">
      <alignment horizontal="center" vertical="center"/>
    </xf>
    <xf numFmtId="49" fontId="28" fillId="0" borderId="4" xfId="0" applyNumberFormat="1" applyFont="1" applyFill="1" applyBorder="1" applyAlignment="1">
      <alignment horizontal="center" vertical="center"/>
    </xf>
    <xf numFmtId="0" fontId="31" fillId="0" borderId="4" xfId="0" applyFont="1" applyFill="1" applyBorder="1" applyAlignment="1">
      <alignment horizontal="center" vertical="center"/>
    </xf>
    <xf numFmtId="0" fontId="32" fillId="0" borderId="4" xfId="0" applyFont="1" applyFill="1" applyBorder="1">
      <alignment vertical="center"/>
    </xf>
    <xf numFmtId="179" fontId="28" fillId="0" borderId="4" xfId="0" applyNumberFormat="1" applyFont="1" applyFill="1" applyBorder="1" applyAlignment="1">
      <alignment horizontal="center" vertical="center"/>
    </xf>
    <xf numFmtId="180" fontId="28" fillId="0" borderId="4" xfId="0" applyNumberFormat="1" applyFont="1" applyFill="1" applyBorder="1" applyAlignment="1">
      <alignment horizontal="center" vertical="center"/>
    </xf>
    <xf numFmtId="0" fontId="33" fillId="0" borderId="4" xfId="0" applyFont="1" applyFill="1" applyBorder="1">
      <alignment vertical="center"/>
    </xf>
    <xf numFmtId="49" fontId="34" fillId="0" borderId="4" xfId="0" applyNumberFormat="1" applyFont="1" applyFill="1" applyBorder="1" applyAlignment="1">
      <alignment horizontal="center" vertical="center"/>
    </xf>
    <xf numFmtId="181" fontId="35" fillId="0" borderId="4" xfId="0" applyNumberFormat="1" applyFont="1" applyFill="1" applyBorder="1" applyAlignment="1">
      <alignment horizontal="center" vertical="center" wrapText="1"/>
    </xf>
    <xf numFmtId="182" fontId="36" fillId="0" borderId="4" xfId="0" applyNumberFormat="1" applyFont="1" applyFill="1" applyBorder="1" applyAlignment="1">
      <alignment horizontal="center" vertical="center"/>
    </xf>
    <xf numFmtId="181" fontId="37" fillId="0" borderId="4" xfId="0" applyNumberFormat="1" applyFont="1" applyFill="1" applyBorder="1" applyAlignment="1">
      <alignment horizontal="center" vertical="center" wrapText="1"/>
    </xf>
    <xf numFmtId="0" fontId="38" fillId="0" borderId="4" xfId="0" applyFont="1" applyFill="1" applyBorder="1" applyAlignment="1">
      <alignment horizontal="center" vertical="center"/>
    </xf>
    <xf numFmtId="0" fontId="39" fillId="0" borderId="4" xfId="0" applyFont="1" applyFill="1" applyBorder="1" applyAlignment="1"/>
    <xf numFmtId="0" fontId="19" fillId="0" borderId="4" xfId="0" applyFont="1" applyFill="1" applyBorder="1">
      <alignment vertical="center"/>
    </xf>
    <xf numFmtId="49" fontId="36" fillId="0" borderId="4" xfId="0" applyNumberFormat="1" applyFont="1" applyFill="1" applyBorder="1" applyAlignment="1">
      <alignment horizontal="center" vertical="center"/>
    </xf>
    <xf numFmtId="49" fontId="34" fillId="0" borderId="4" xfId="0" applyNumberFormat="1" applyFont="1" applyFill="1" applyBorder="1" applyAlignment="1">
      <alignment horizontal="center" vertical="center" wrapText="1"/>
    </xf>
    <xf numFmtId="0" fontId="21" fillId="0" borderId="4" xfId="0" applyFont="1" applyFill="1" applyBorder="1">
      <alignment vertical="center"/>
    </xf>
    <xf numFmtId="0" fontId="40" fillId="0" borderId="4" xfId="0" applyFont="1" applyFill="1" applyBorder="1">
      <alignment vertical="center"/>
    </xf>
    <xf numFmtId="0" fontId="34" fillId="0" borderId="4" xfId="0" applyFont="1" applyFill="1" applyBorder="1" applyAlignment="1">
      <alignment horizontal="center" vertical="center" wrapText="1"/>
    </xf>
    <xf numFmtId="177" fontId="34" fillId="0" borderId="4" xfId="0" applyNumberFormat="1" applyFont="1" applyFill="1" applyBorder="1" applyAlignment="1">
      <alignment horizontal="center" vertical="center"/>
    </xf>
    <xf numFmtId="179" fontId="34" fillId="0" borderId="4" xfId="0" applyNumberFormat="1" applyFont="1" applyFill="1" applyBorder="1" applyAlignment="1">
      <alignment horizontal="center" vertical="center"/>
    </xf>
    <xf numFmtId="180" fontId="34" fillId="0" borderId="4" xfId="0" applyNumberFormat="1" applyFont="1" applyFill="1" applyBorder="1" applyAlignment="1">
      <alignment horizontal="center" vertical="center"/>
    </xf>
    <xf numFmtId="178" fontId="34" fillId="0" borderId="4" xfId="0" applyNumberFormat="1" applyFont="1" applyFill="1" applyBorder="1" applyAlignment="1">
      <alignment horizontal="center" vertical="center"/>
    </xf>
    <xf numFmtId="180" fontId="36" fillId="0" borderId="14" xfId="0" applyNumberFormat="1" applyFont="1" applyFill="1" applyBorder="1" applyAlignment="1">
      <alignment horizontal="center" vertical="center"/>
    </xf>
    <xf numFmtId="180" fontId="36" fillId="0" borderId="6" xfId="0" applyNumberFormat="1" applyFont="1" applyFill="1" applyBorder="1" applyAlignment="1">
      <alignment horizontal="center" vertical="center"/>
    </xf>
    <xf numFmtId="180" fontId="36" fillId="0" borderId="4" xfId="0" applyNumberFormat="1" applyFont="1" applyFill="1" applyBorder="1" applyAlignment="1">
      <alignment horizontal="center" vertical="center"/>
    </xf>
    <xf numFmtId="49" fontId="13" fillId="0" borderId="4" xfId="0" applyNumberFormat="1" applyFont="1" applyFill="1" applyBorder="1" applyAlignment="1">
      <alignment horizontal="center" vertical="center" wrapText="1"/>
    </xf>
    <xf numFmtId="181" fontId="36" fillId="0" borderId="4" xfId="0" applyNumberFormat="1" applyFont="1" applyFill="1" applyBorder="1" applyAlignment="1">
      <alignment horizontal="center" vertical="center"/>
    </xf>
    <xf numFmtId="49" fontId="36" fillId="0" borderId="4" xfId="0" applyNumberFormat="1" applyFont="1" applyFill="1" applyBorder="1" applyAlignment="1">
      <alignment horizontal="right" vertical="center"/>
    </xf>
    <xf numFmtId="178" fontId="36" fillId="0" borderId="4" xfId="0" applyNumberFormat="1" applyFont="1" applyFill="1" applyBorder="1" applyAlignment="1">
      <alignment horizontal="left" vertical="center"/>
    </xf>
    <xf numFmtId="49" fontId="16" fillId="0" borderId="4" xfId="0" applyNumberFormat="1" applyFont="1" applyFill="1" applyBorder="1" applyAlignment="1">
      <alignment horizontal="center" vertical="center"/>
    </xf>
    <xf numFmtId="0" fontId="13" fillId="0" borderId="2" xfId="0" applyFont="1" applyFill="1" applyBorder="1" applyAlignment="1">
      <alignment horizontal="left" vertical="center"/>
    </xf>
    <xf numFmtId="0" fontId="13" fillId="0" borderId="3" xfId="0" applyFont="1" applyFill="1" applyBorder="1" applyAlignment="1">
      <alignment horizontal="left" vertical="center"/>
    </xf>
    <xf numFmtId="0" fontId="13" fillId="0" borderId="3" xfId="0" applyFont="1" applyFill="1" applyBorder="1" applyAlignment="1">
      <alignment horizontal="center" vertical="center"/>
    </xf>
    <xf numFmtId="0" fontId="13" fillId="0" borderId="12" xfId="0" applyFont="1" applyFill="1" applyBorder="1" applyAlignment="1">
      <alignment horizontal="left" vertical="center"/>
    </xf>
    <xf numFmtId="0" fontId="13" fillId="0" borderId="6" xfId="0" applyFont="1" applyFill="1" applyBorder="1" applyAlignment="1">
      <alignment horizontal="left" vertical="center"/>
    </xf>
    <xf numFmtId="49" fontId="36" fillId="0" borderId="6" xfId="0" applyNumberFormat="1" applyFont="1" applyFill="1" applyBorder="1" applyAlignment="1">
      <alignment horizontal="center" vertical="center"/>
    </xf>
    <xf numFmtId="0" fontId="13" fillId="0" borderId="7" xfId="0" applyFont="1" applyFill="1" applyBorder="1" applyAlignment="1">
      <alignment horizontal="left" vertical="center" wrapText="1"/>
    </xf>
    <xf numFmtId="0" fontId="13" fillId="0" borderId="0" xfId="0" applyFont="1" applyFill="1" applyAlignment="1">
      <alignment horizontal="left" vertical="center" wrapText="1"/>
    </xf>
    <xf numFmtId="0" fontId="13" fillId="0" borderId="10" xfId="0" applyFont="1" applyFill="1" applyBorder="1" applyAlignment="1">
      <alignment horizontal="left" vertical="center" wrapText="1"/>
    </xf>
    <xf numFmtId="0" fontId="13" fillId="0" borderId="6" xfId="0" applyFont="1" applyFill="1" applyBorder="1" applyAlignment="1">
      <alignment horizontal="left" vertical="center" wrapText="1"/>
    </xf>
    <xf numFmtId="0" fontId="13" fillId="0" borderId="2" xfId="0" applyFont="1" applyFill="1" applyBorder="1" applyAlignment="1">
      <alignment horizontal="center" vertical="center"/>
    </xf>
    <xf numFmtId="0" fontId="13" fillId="0" borderId="7" xfId="0" applyFont="1" applyFill="1" applyBorder="1" applyAlignment="1">
      <alignment vertical="center"/>
    </xf>
    <xf numFmtId="0" fontId="13" fillId="0" borderId="0" xfId="0" applyFont="1" applyFill="1" applyAlignment="1">
      <alignment vertical="center"/>
    </xf>
    <xf numFmtId="0" fontId="13" fillId="0" borderId="0" xfId="0" applyFont="1" applyFill="1" applyAlignment="1">
      <alignment horizontal="center" vertical="center"/>
    </xf>
    <xf numFmtId="0" fontId="13" fillId="0" borderId="10" xfId="0" applyFont="1" applyFill="1" applyBorder="1" applyAlignment="1">
      <alignment vertical="center"/>
    </xf>
    <xf numFmtId="0" fontId="13" fillId="0" borderId="6" xfId="0" applyFont="1" applyFill="1" applyBorder="1" applyAlignment="1">
      <alignment vertical="center"/>
    </xf>
    <xf numFmtId="0" fontId="13" fillId="0" borderId="13" xfId="0" applyFont="1" applyFill="1" applyBorder="1" applyAlignment="1">
      <alignment horizontal="center" vertical="center"/>
    </xf>
    <xf numFmtId="0" fontId="13" fillId="0" borderId="14" xfId="0" applyFont="1" applyFill="1" applyBorder="1" applyAlignment="1">
      <alignment horizontal="center" vertical="center"/>
    </xf>
    <xf numFmtId="0" fontId="13" fillId="0" borderId="7" xfId="0" applyFont="1" applyFill="1" applyBorder="1" applyAlignment="1">
      <alignment vertical="center" wrapText="1"/>
    </xf>
    <xf numFmtId="0" fontId="13" fillId="0" borderId="0" xfId="0" applyFont="1" applyFill="1" applyAlignment="1">
      <alignment vertical="center" wrapText="1"/>
    </xf>
    <xf numFmtId="0" fontId="13" fillId="0" borderId="2" xfId="0" applyFont="1" applyFill="1" applyBorder="1" applyAlignment="1">
      <alignment horizontal="left" vertical="top"/>
    </xf>
    <xf numFmtId="0" fontId="13" fillId="0" borderId="12" xfId="0" applyFont="1" applyFill="1" applyBorder="1" applyAlignment="1">
      <alignment horizontal="center" vertical="center"/>
    </xf>
    <xf numFmtId="0" fontId="13" fillId="0" borderId="7" xfId="0" applyFont="1" applyFill="1" applyBorder="1" applyAlignment="1">
      <alignment horizontal="left" vertical="top"/>
    </xf>
    <xf numFmtId="0" fontId="13" fillId="0" borderId="10" xfId="0" applyFont="1" applyFill="1" applyBorder="1" applyAlignment="1">
      <alignment horizontal="center" vertical="center"/>
    </xf>
    <xf numFmtId="0" fontId="13" fillId="0" borderId="7" xfId="0" applyFont="1" applyFill="1" applyBorder="1" applyAlignment="1">
      <alignment horizontal="left" vertical="top" wrapText="1"/>
    </xf>
    <xf numFmtId="0" fontId="13" fillId="0" borderId="0" xfId="0" applyFont="1" applyFill="1" applyAlignment="1">
      <alignment horizontal="center" vertical="center" wrapText="1"/>
    </xf>
    <xf numFmtId="0" fontId="13" fillId="0" borderId="10" xfId="0" applyFont="1" applyFill="1" applyBorder="1" applyAlignment="1">
      <alignment horizontal="center" vertical="center" wrapText="1"/>
    </xf>
    <xf numFmtId="0" fontId="13" fillId="0" borderId="5" xfId="0" applyFont="1" applyFill="1" applyBorder="1" applyAlignment="1">
      <alignment horizontal="left" vertical="center" wrapText="1"/>
    </xf>
    <xf numFmtId="0" fontId="13" fillId="0" borderId="1" xfId="0" applyFont="1" applyFill="1" applyBorder="1" applyAlignment="1">
      <alignment horizontal="left" vertical="center" wrapText="1"/>
    </xf>
    <xf numFmtId="0" fontId="13" fillId="0" borderId="11" xfId="0" applyFont="1" applyFill="1" applyBorder="1" applyAlignment="1">
      <alignment horizontal="left" vertical="center" wrapText="1"/>
    </xf>
    <xf numFmtId="0" fontId="13" fillId="0" borderId="5" xfId="0" applyFont="1" applyFill="1" applyBorder="1" applyAlignment="1">
      <alignment horizontal="left" vertical="top"/>
    </xf>
    <xf numFmtId="0" fontId="13" fillId="0" borderId="1" xfId="0" applyFont="1" applyFill="1" applyBorder="1" applyAlignment="1">
      <alignment horizontal="center" vertical="center"/>
    </xf>
    <xf numFmtId="0" fontId="13" fillId="0" borderId="11" xfId="0" applyFont="1" applyFill="1" applyBorder="1" applyAlignment="1">
      <alignment horizontal="center" vertical="center"/>
    </xf>
    <xf numFmtId="183" fontId="35" fillId="0" borderId="2" xfId="0" applyNumberFormat="1" applyFont="1" applyFill="1" applyBorder="1" applyAlignment="1">
      <alignment horizontal="left" vertical="center" wrapText="1"/>
    </xf>
    <xf numFmtId="183" fontId="35" fillId="0" borderId="3" xfId="0" applyNumberFormat="1" applyFont="1" applyFill="1" applyBorder="1" applyAlignment="1">
      <alignment horizontal="left" vertical="center" wrapText="1"/>
    </xf>
    <xf numFmtId="49" fontId="41" fillId="0" borderId="12" xfId="0" applyNumberFormat="1" applyFont="1" applyFill="1" applyBorder="1" applyAlignment="1">
      <alignment horizontal="center" vertical="center"/>
    </xf>
    <xf numFmtId="183" fontId="35" fillId="0" borderId="5" xfId="0" applyNumberFormat="1" applyFont="1" applyFill="1" applyBorder="1" applyAlignment="1">
      <alignment horizontal="left" vertical="center" wrapText="1"/>
    </xf>
    <xf numFmtId="183" fontId="35" fillId="0" borderId="1" xfId="0" applyNumberFormat="1" applyFont="1" applyFill="1" applyBorder="1" applyAlignment="1">
      <alignment horizontal="left" vertical="center" wrapText="1"/>
    </xf>
    <xf numFmtId="184" fontId="21" fillId="0" borderId="11" xfId="0" applyNumberFormat="1" applyFont="1" applyFill="1" applyBorder="1">
      <alignment vertical="center"/>
    </xf>
    <xf numFmtId="0" fontId="42" fillId="0" borderId="0" xfId="0" applyFont="1" applyAlignment="1">
      <alignment horizontal="center" vertical="center"/>
    </xf>
    <xf numFmtId="0" fontId="0" fillId="0" borderId="0" xfId="0" applyAlignment="1">
      <alignment horizontal="center" vertical="center"/>
    </xf>
    <xf numFmtId="0" fontId="43" fillId="0" borderId="0" xfId="0" applyFont="1" applyAlignment="1">
      <alignment horizontal="center" vertical="center"/>
    </xf>
    <xf numFmtId="0" fontId="44" fillId="0" borderId="0" xfId="0" applyFont="1" applyAlignment="1">
      <alignment horizontal="center" vertical="center"/>
    </xf>
    <xf numFmtId="0" fontId="45" fillId="0" borderId="0" xfId="0" applyFont="1">
      <alignment vertical="center"/>
    </xf>
    <xf numFmtId="0" fontId="46" fillId="0" borderId="0" xfId="0" applyFont="1">
      <alignment vertical="center"/>
    </xf>
    <xf numFmtId="0" fontId="47" fillId="0" borderId="0" xfId="0" applyFont="1">
      <alignment vertical="center"/>
    </xf>
    <xf numFmtId="0" fontId="48" fillId="0" borderId="0" xfId="0" applyFont="1">
      <alignment vertical="center"/>
    </xf>
    <xf numFmtId="0" fontId="47" fillId="0" borderId="0" xfId="0" applyFont="1" applyAlignment="1">
      <alignment horizontal="left" vertical="center" wrapText="1"/>
    </xf>
    <xf numFmtId="0" fontId="47" fillId="0" borderId="0" xfId="0" applyFont="1" applyAlignment="1">
      <alignment horizontal="left" vertical="center"/>
    </xf>
    <xf numFmtId="0" fontId="49" fillId="0" borderId="4" xfId="0" applyFont="1" applyBorder="1" applyAlignment="1">
      <alignment horizontal="center" vertical="center" wrapText="1"/>
    </xf>
    <xf numFmtId="0" fontId="50" fillId="0" borderId="4" xfId="0" applyFont="1" applyBorder="1" applyAlignment="1">
      <alignment horizontal="center" vertical="center" wrapText="1"/>
    </xf>
    <xf numFmtId="0" fontId="51" fillId="0" borderId="4" xfId="0" applyFont="1" applyBorder="1" applyAlignment="1">
      <alignment horizontal="center" vertical="center" wrapText="1"/>
    </xf>
    <xf numFmtId="0" fontId="49" fillId="0" borderId="4" xfId="0" applyFont="1" applyBorder="1" applyAlignment="1">
      <alignment horizontal="center" vertical="center"/>
    </xf>
    <xf numFmtId="0" fontId="47" fillId="0" borderId="0" xfId="0" applyFont="1" applyAlignment="1">
      <alignment horizontal="center" vertical="center"/>
    </xf>
    <xf numFmtId="0" fontId="48" fillId="0" borderId="0" xfId="0" applyFont="1" applyAlignment="1">
      <alignment horizontal="center" vertical="center" wrapText="1"/>
    </xf>
    <xf numFmtId="0" fontId="47" fillId="0" borderId="0" xfId="0" applyFont="1" applyAlignment="1">
      <alignment vertical="center"/>
    </xf>
    <xf numFmtId="185" fontId="48" fillId="0" borderId="0" xfId="0" applyNumberFormat="1" applyFont="1" applyAlignment="1">
      <alignment horizontal="center" vertical="center"/>
    </xf>
    <xf numFmtId="0" fontId="48" fillId="0" borderId="0" xfId="0" applyFont="1" applyAlignment="1">
      <alignment vertical="center"/>
    </xf>
    <xf numFmtId="0" fontId="48" fillId="0" borderId="0" xfId="0" applyFont="1" applyAlignment="1">
      <alignment horizontal="left" vertical="top"/>
    </xf>
    <xf numFmtId="0" fontId="48" fillId="0" borderId="0" xfId="0" applyFont="1" applyAlignment="1">
      <alignment vertical="center" wrapText="1"/>
    </xf>
    <xf numFmtId="0" fontId="47" fillId="0" borderId="0" xfId="0" applyFont="1" applyAlignment="1">
      <alignment vertical="center" wrapText="1"/>
    </xf>
    <xf numFmtId="186" fontId="48" fillId="0" borderId="0" xfId="0" applyNumberFormat="1" applyFont="1" applyAlignment="1">
      <alignment horizontal="left" vertical="center" wrapText="1"/>
    </xf>
    <xf numFmtId="186" fontId="47" fillId="0" borderId="0" xfId="0" applyNumberFormat="1" applyFont="1" applyAlignment="1">
      <alignment horizontal="left" vertical="center"/>
    </xf>
    <xf numFmtId="185" fontId="48" fillId="0" borderId="0" xfId="0" applyNumberFormat="1" applyFont="1" applyAlignment="1">
      <alignment horizontal="left" vertical="center" wrapText="1"/>
    </xf>
    <xf numFmtId="185" fontId="48" fillId="0" borderId="0" xfId="0" applyNumberFormat="1" applyFont="1" applyAlignment="1">
      <alignment horizontal="left" vertical="center"/>
    </xf>
    <xf numFmtId="0" fontId="52" fillId="0" borderId="0" xfId="0" applyFont="1" applyFill="1" applyAlignment="1">
      <alignment horizontal="right" vertical="center"/>
    </xf>
    <xf numFmtId="0" fontId="52" fillId="0" borderId="0" xfId="0" applyFont="1" applyFill="1" applyAlignment="1">
      <alignment horizontal="center" vertical="center"/>
    </xf>
    <xf numFmtId="0" fontId="21" fillId="0" borderId="0" xfId="0" applyFont="1" applyFill="1" applyBorder="1" applyAlignment="1">
      <alignment horizontal="center" vertical="center"/>
    </xf>
    <xf numFmtId="0" fontId="21" fillId="0" borderId="0" xfId="0" applyFont="1" applyFill="1" applyAlignment="1">
      <alignment vertical="center"/>
    </xf>
    <xf numFmtId="14" fontId="19" fillId="0" borderId="0" xfId="0" applyNumberFormat="1" applyFont="1" applyFill="1" applyAlignment="1">
      <alignment vertical="center"/>
    </xf>
    <xf numFmtId="0" fontId="0" fillId="0" borderId="4" xfId="0" applyFont="1" applyFill="1" applyBorder="1" applyAlignment="1">
      <alignment horizontal="center" vertical="center"/>
    </xf>
    <xf numFmtId="0" fontId="21" fillId="0" borderId="4" xfId="0" applyFont="1" applyFill="1" applyBorder="1" applyAlignment="1">
      <alignment horizontal="center" vertical="center"/>
    </xf>
    <xf numFmtId="181" fontId="21" fillId="0" borderId="4" xfId="0" applyNumberFormat="1" applyFont="1" applyFill="1" applyBorder="1" applyAlignment="1">
      <alignment horizontal="center" vertical="center"/>
    </xf>
    <xf numFmtId="0" fontId="53" fillId="0" borderId="0" xfId="0" applyFont="1" applyFill="1" applyBorder="1" applyAlignment="1">
      <alignment horizontal="left" vertical="center" textRotation="255" wrapText="1"/>
    </xf>
    <xf numFmtId="0" fontId="54" fillId="0" borderId="4" xfId="0" applyFont="1" applyFill="1" applyBorder="1" applyAlignment="1">
      <alignment horizontal="center" vertical="center"/>
    </xf>
    <xf numFmtId="0" fontId="19" fillId="0" borderId="4" xfId="0" applyFont="1" applyFill="1" applyBorder="1" applyAlignment="1">
      <alignment horizontal="center" vertical="center"/>
    </xf>
    <xf numFmtId="181" fontId="19" fillId="0" borderId="4" xfId="0" applyNumberFormat="1" applyFont="1" applyFill="1" applyBorder="1" applyAlignment="1">
      <alignment horizontal="center" vertical="center"/>
    </xf>
    <xf numFmtId="187" fontId="19" fillId="0" borderId="4" xfId="0" applyNumberFormat="1" applyFont="1" applyFill="1" applyBorder="1" applyAlignment="1">
      <alignment horizontal="center" vertical="center"/>
    </xf>
    <xf numFmtId="0" fontId="48" fillId="0" borderId="0" xfId="0" applyFont="1" applyFill="1" applyAlignment="1">
      <alignment horizontal="center" vertical="center"/>
    </xf>
    <xf numFmtId="0" fontId="0" fillId="0" borderId="4" xfId="0" applyFont="1" applyFill="1" applyBorder="1" applyAlignment="1">
      <alignment vertical="center"/>
    </xf>
    <xf numFmtId="0" fontId="21" fillId="0" borderId="13" xfId="0" applyFont="1" applyFill="1" applyBorder="1" applyAlignment="1">
      <alignment horizontal="left" vertical="center"/>
    </xf>
    <xf numFmtId="0" fontId="21" fillId="0" borderId="14" xfId="0" applyFont="1" applyFill="1" applyBorder="1" applyAlignment="1">
      <alignment horizontal="left" vertical="center"/>
    </xf>
    <xf numFmtId="181" fontId="21" fillId="0" borderId="6" xfId="0" applyNumberFormat="1" applyFont="1" applyFill="1" applyBorder="1" applyAlignment="1">
      <alignment horizontal="left" vertical="center"/>
    </xf>
    <xf numFmtId="181" fontId="21" fillId="0" borderId="13" xfId="0" applyNumberFormat="1" applyFont="1" applyFill="1" applyBorder="1" applyAlignment="1">
      <alignment horizontal="left" vertical="center"/>
    </xf>
    <xf numFmtId="181" fontId="21" fillId="0" borderId="14" xfId="0" applyNumberFormat="1" applyFont="1" applyFill="1" applyBorder="1" applyAlignment="1">
      <alignment horizontal="left" vertical="center"/>
    </xf>
    <xf numFmtId="0" fontId="21" fillId="0" borderId="6" xfId="0" applyFont="1" applyFill="1" applyBorder="1" applyAlignment="1">
      <alignment horizontal="left" vertical="center"/>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6" Type="http://schemas.openxmlformats.org/officeDocument/2006/relationships/styles" Target="styles.xml"/><Relationship Id="rId5" Type="http://schemas.openxmlformats.org/officeDocument/2006/relationships/sharedStrings" Target="sharedStrings.xml"/><Relationship Id="rId4" Type="http://schemas.openxmlformats.org/officeDocument/2006/relationships/theme" Target="theme/theme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7" Type="http://schemas.openxmlformats.org/officeDocument/2006/relationships/image" Target="../media/image6.jpeg"/><Relationship Id="rId6" Type="http://schemas.openxmlformats.org/officeDocument/2006/relationships/image" Target="NULL" TargetMode="External"/><Relationship Id="rId5" Type="http://schemas.openxmlformats.org/officeDocument/2006/relationships/image" Target="../media/image5.jpeg"/><Relationship Id="rId4" Type="http://schemas.openxmlformats.org/officeDocument/2006/relationships/image" Target="../media/image4.png"/><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twoCellAnchor editAs="oneCell">
    <xdr:from>
      <xdr:col>4</xdr:col>
      <xdr:colOff>321945</xdr:colOff>
      <xdr:row>14</xdr:row>
      <xdr:rowOff>167005</xdr:rowOff>
    </xdr:from>
    <xdr:to>
      <xdr:col>4</xdr:col>
      <xdr:colOff>1402080</xdr:colOff>
      <xdr:row>14</xdr:row>
      <xdr:rowOff>1247140</xdr:rowOff>
    </xdr:to>
    <xdr:pic>
      <xdr:nvPicPr>
        <xdr:cNvPr id="2" name="图片 1"/>
        <xdr:cNvPicPr/>
      </xdr:nvPicPr>
      <xdr:blipFill>
        <a:blip r:embed="rId1"/>
        <a:stretch>
          <a:fillRect/>
        </a:stretch>
      </xdr:blipFill>
      <xdr:spPr>
        <a:xfrm>
          <a:off x="3642995" y="6240780"/>
          <a:ext cx="1080135" cy="1080135"/>
        </a:xfrm>
        <a:prstGeom prst="rect">
          <a:avLst/>
        </a:prstGeom>
        <a:noFill/>
        <a:ln w="9525">
          <a:noFill/>
        </a:ln>
      </xdr:spPr>
    </xdr:pic>
    <xdr:clientData/>
  </xdr:twoCellAnchor>
  <xdr:twoCellAnchor editAs="oneCell">
    <xdr:from>
      <xdr:col>4</xdr:col>
      <xdr:colOff>321945</xdr:colOff>
      <xdr:row>15</xdr:row>
      <xdr:rowOff>154305</xdr:rowOff>
    </xdr:from>
    <xdr:to>
      <xdr:col>4</xdr:col>
      <xdr:colOff>1402080</xdr:colOff>
      <xdr:row>15</xdr:row>
      <xdr:rowOff>1234440</xdr:rowOff>
    </xdr:to>
    <xdr:pic>
      <xdr:nvPicPr>
        <xdr:cNvPr id="3" name="图片 2"/>
        <xdr:cNvPicPr/>
      </xdr:nvPicPr>
      <xdr:blipFill>
        <a:blip r:embed="rId2"/>
        <a:stretch>
          <a:fillRect/>
        </a:stretch>
      </xdr:blipFill>
      <xdr:spPr>
        <a:xfrm>
          <a:off x="3642995" y="7574280"/>
          <a:ext cx="1080135" cy="1080135"/>
        </a:xfrm>
        <a:prstGeom prst="rect">
          <a:avLst/>
        </a:prstGeom>
        <a:noFill/>
        <a:ln w="9525">
          <a:noFill/>
        </a:ln>
      </xdr:spPr>
    </xdr:pic>
    <xdr:clientData/>
  </xdr:twoCellAnchor>
  <xdr:twoCellAnchor editAs="oneCell">
    <xdr:from>
      <xdr:col>4</xdr:col>
      <xdr:colOff>321945</xdr:colOff>
      <xdr:row>13</xdr:row>
      <xdr:rowOff>159385</xdr:rowOff>
    </xdr:from>
    <xdr:to>
      <xdr:col>4</xdr:col>
      <xdr:colOff>1402080</xdr:colOff>
      <xdr:row>13</xdr:row>
      <xdr:rowOff>1239520</xdr:rowOff>
    </xdr:to>
    <xdr:pic>
      <xdr:nvPicPr>
        <xdr:cNvPr id="4" name="图片 3"/>
        <xdr:cNvPicPr/>
      </xdr:nvPicPr>
      <xdr:blipFill>
        <a:blip r:embed="rId3"/>
        <a:stretch>
          <a:fillRect/>
        </a:stretch>
      </xdr:blipFill>
      <xdr:spPr>
        <a:xfrm>
          <a:off x="3642995" y="4886960"/>
          <a:ext cx="1080135" cy="1080135"/>
        </a:xfrm>
        <a:prstGeom prst="rect">
          <a:avLst/>
        </a:prstGeom>
        <a:noFill/>
        <a:ln w="9525">
          <a:noFill/>
        </a:ln>
      </xdr:spPr>
    </xdr:pic>
    <xdr:clientData/>
  </xdr:twoCellAnchor>
  <xdr:twoCellAnchor editAs="oneCell">
    <xdr:from>
      <xdr:col>4</xdr:col>
      <xdr:colOff>321945</xdr:colOff>
      <xdr:row>12</xdr:row>
      <xdr:rowOff>109855</xdr:rowOff>
    </xdr:from>
    <xdr:to>
      <xdr:col>4</xdr:col>
      <xdr:colOff>1402080</xdr:colOff>
      <xdr:row>12</xdr:row>
      <xdr:rowOff>1194435</xdr:rowOff>
    </xdr:to>
    <xdr:pic>
      <xdr:nvPicPr>
        <xdr:cNvPr id="5" name="图片 4"/>
        <xdr:cNvPicPr/>
      </xdr:nvPicPr>
      <xdr:blipFill>
        <a:blip r:embed="rId4"/>
        <a:srcRect/>
        <a:stretch>
          <a:fillRect/>
        </a:stretch>
      </xdr:blipFill>
      <xdr:spPr>
        <a:xfrm>
          <a:off x="3642995" y="3491230"/>
          <a:ext cx="1080135" cy="1084580"/>
        </a:xfrm>
        <a:prstGeom prst="rect">
          <a:avLst/>
        </a:prstGeom>
        <a:noFill/>
        <a:ln w="9525">
          <a:noFill/>
        </a:ln>
      </xdr:spPr>
    </xdr:pic>
    <xdr:clientData/>
  </xdr:twoCellAnchor>
  <xdr:twoCellAnchor editAs="oneCell">
    <xdr:from>
      <xdr:col>4</xdr:col>
      <xdr:colOff>321945</xdr:colOff>
      <xdr:row>16</xdr:row>
      <xdr:rowOff>171450</xdr:rowOff>
    </xdr:from>
    <xdr:to>
      <xdr:col>4</xdr:col>
      <xdr:colOff>1402080</xdr:colOff>
      <xdr:row>16</xdr:row>
      <xdr:rowOff>1251585</xdr:rowOff>
    </xdr:to>
    <xdr:pic>
      <xdr:nvPicPr>
        <xdr:cNvPr id="6" name="图片 5"/>
        <xdr:cNvPicPr/>
      </xdr:nvPicPr>
      <xdr:blipFill>
        <a:blip r:embed="rId5" r:link="rId6"/>
        <a:stretch>
          <a:fillRect/>
        </a:stretch>
      </xdr:blipFill>
      <xdr:spPr>
        <a:xfrm>
          <a:off x="3642995" y="8937625"/>
          <a:ext cx="1080135" cy="1080135"/>
        </a:xfrm>
        <a:prstGeom prst="rect">
          <a:avLst/>
        </a:prstGeom>
        <a:noFill/>
        <a:ln w="9525">
          <a:noFill/>
        </a:ln>
      </xdr:spPr>
    </xdr:pic>
    <xdr:clientData/>
  </xdr:twoCellAnchor>
  <xdr:twoCellAnchor editAs="oneCell">
    <xdr:from>
      <xdr:col>4</xdr:col>
      <xdr:colOff>321945</xdr:colOff>
      <xdr:row>17</xdr:row>
      <xdr:rowOff>171450</xdr:rowOff>
    </xdr:from>
    <xdr:to>
      <xdr:col>4</xdr:col>
      <xdr:colOff>1402080</xdr:colOff>
      <xdr:row>17</xdr:row>
      <xdr:rowOff>1251585</xdr:rowOff>
    </xdr:to>
    <xdr:pic>
      <xdr:nvPicPr>
        <xdr:cNvPr id="7" name="图片 6"/>
        <xdr:cNvPicPr/>
      </xdr:nvPicPr>
      <xdr:blipFill>
        <a:blip r:embed="rId7" r:link="rId6"/>
        <a:stretch>
          <a:fillRect/>
        </a:stretch>
      </xdr:blipFill>
      <xdr:spPr>
        <a:xfrm>
          <a:off x="3642995" y="10283825"/>
          <a:ext cx="1080135" cy="1080135"/>
        </a:xfrm>
        <a:prstGeom prst="rect">
          <a:avLst/>
        </a:prstGeom>
        <a:noFill/>
        <a:ln w="9525">
          <a:noFill/>
        </a:ln>
      </xdr:spPr>
    </xdr:pic>
    <xdr:clientData/>
  </xdr:twoCellAnchor>
</xdr:wsDr>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2.xml.rels><?xml version="1.0" encoding="UTF-8" standalone="yes"?>
<Relationships xmlns="http://schemas.openxmlformats.org/package/2006/relationships"><Relationship Id="rId2" Type="http://schemas.openxmlformats.org/officeDocument/2006/relationships/hyperlink" Target="mailto:373174403@qq.com" TargetMode="External"/><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58"/>
  <sheetViews>
    <sheetView tabSelected="1" zoomScale="130" zoomScaleNormal="130" workbookViewId="0">
      <selection activeCell="G4" sqref="G4"/>
    </sheetView>
  </sheetViews>
  <sheetFormatPr defaultColWidth="9" defaultRowHeight="13.5"/>
  <cols>
    <col min="1" max="1" width="9.8" customWidth="1"/>
    <col min="2" max="2" width="9.61666666666667" customWidth="1"/>
    <col min="3" max="3" width="6.25" customWidth="1"/>
    <col min="4" max="4" width="10.475" customWidth="1"/>
    <col min="5" max="5" width="10.6666666666667" customWidth="1"/>
    <col min="6" max="6" width="10.0916666666667" customWidth="1"/>
    <col min="7" max="7" width="11.15" customWidth="1"/>
    <col min="8" max="8" width="7.78333333333333" customWidth="1"/>
    <col min="9" max="9" width="12.7916666666667" customWidth="1"/>
  </cols>
  <sheetData>
    <row r="1" ht="20.25" spans="1:9">
      <c r="A1" s="186" t="s">
        <v>0</v>
      </c>
      <c r="B1" s="186"/>
      <c r="C1" s="186"/>
      <c r="D1" s="186"/>
      <c r="E1" s="186"/>
      <c r="F1" s="186"/>
      <c r="G1" s="186"/>
      <c r="H1" s="186"/>
      <c r="I1" s="186"/>
    </row>
    <row r="2" ht="20.25" spans="1:9">
      <c r="A2" s="186" t="s">
        <v>1</v>
      </c>
      <c r="B2" s="186"/>
      <c r="C2" s="186"/>
      <c r="D2" s="186"/>
      <c r="E2" s="186"/>
      <c r="F2" s="186"/>
      <c r="G2" s="186"/>
      <c r="H2" s="186"/>
      <c r="I2" s="186"/>
    </row>
    <row r="3" ht="20.25" spans="1:9">
      <c r="A3" s="187"/>
      <c r="B3" s="187"/>
      <c r="C3" s="187"/>
      <c r="D3" s="187"/>
      <c r="E3" s="187"/>
      <c r="F3" s="187"/>
      <c r="G3" s="187"/>
      <c r="H3" s="187"/>
      <c r="I3" s="187"/>
    </row>
    <row r="4" ht="20.25" spans="1:9">
      <c r="A4" s="187"/>
      <c r="B4" s="187"/>
      <c r="C4" s="187"/>
      <c r="D4" s="187"/>
      <c r="E4" s="187"/>
      <c r="F4" s="187"/>
      <c r="G4" s="187"/>
      <c r="H4" s="187"/>
      <c r="I4" s="187"/>
    </row>
    <row r="5" ht="15" customHeight="1" spans="1:9">
      <c r="A5" s="188"/>
      <c r="B5" s="189"/>
      <c r="C5" s="189"/>
      <c r="D5" s="188"/>
      <c r="E5" s="189"/>
      <c r="F5" s="189"/>
    </row>
    <row r="6" ht="15" customHeight="1" spans="1:9">
      <c r="A6" s="190" t="s">
        <v>2</v>
      </c>
      <c r="B6" s="191" t="s">
        <v>3</v>
      </c>
      <c r="C6" s="190"/>
      <c r="D6" s="190"/>
      <c r="E6" s="190"/>
      <c r="F6" s="190"/>
      <c r="G6" s="190" t="s">
        <v>4</v>
      </c>
      <c r="H6" s="191" t="s">
        <v>5</v>
      </c>
      <c r="I6" s="190"/>
    </row>
    <row r="7" ht="15" customHeight="1" spans="1:9">
      <c r="A7" s="190" t="s">
        <v>6</v>
      </c>
      <c r="B7" s="190" t="s">
        <v>0</v>
      </c>
      <c r="C7" s="190"/>
      <c r="D7" s="190"/>
      <c r="E7" s="190"/>
      <c r="F7" s="190"/>
      <c r="G7" s="190" t="s">
        <v>7</v>
      </c>
      <c r="H7" s="190" t="s">
        <v>8</v>
      </c>
      <c r="I7" s="190"/>
    </row>
    <row r="8" ht="15" customHeight="1" spans="1:9">
      <c r="A8" s="190"/>
      <c r="B8" s="190"/>
      <c r="C8" s="190"/>
      <c r="D8" s="190"/>
      <c r="E8" s="190"/>
      <c r="F8" s="190"/>
      <c r="G8" s="190"/>
      <c r="H8" s="190"/>
      <c r="I8" s="190"/>
    </row>
    <row r="9" ht="15" customHeight="1" spans="1:9">
      <c r="A9" s="192" t="s">
        <v>9</v>
      </c>
      <c r="B9" s="192"/>
      <c r="C9" s="192"/>
      <c r="D9" s="192"/>
      <c r="E9" s="192"/>
      <c r="F9" s="192"/>
      <c r="G9" s="192"/>
      <c r="H9" s="192"/>
      <c r="I9" s="192"/>
    </row>
    <row r="10" ht="15" customHeight="1" spans="1:9">
      <c r="A10" s="192"/>
      <c r="B10" s="192"/>
      <c r="C10" s="192"/>
      <c r="D10" s="192"/>
      <c r="E10" s="192"/>
      <c r="F10" s="192"/>
      <c r="G10" s="192"/>
      <c r="H10" s="192"/>
      <c r="I10" s="192"/>
    </row>
    <row r="11" ht="15" customHeight="1" spans="1:9">
      <c r="A11" s="190"/>
      <c r="B11" s="190"/>
      <c r="C11" s="190"/>
      <c r="D11" s="190"/>
      <c r="E11" s="190"/>
      <c r="F11" s="190"/>
      <c r="G11" s="190"/>
      <c r="H11" s="190"/>
      <c r="I11" s="190"/>
    </row>
    <row r="12" ht="15" customHeight="1" spans="1:9">
      <c r="A12" s="193" t="s">
        <v>10</v>
      </c>
      <c r="B12" s="193"/>
      <c r="C12" s="193"/>
      <c r="D12" s="193"/>
      <c r="E12" s="193"/>
      <c r="F12" s="193"/>
      <c r="G12" s="190"/>
      <c r="H12" s="190"/>
      <c r="I12" s="190"/>
    </row>
    <row r="13" s="184" customFormat="1" ht="20" customHeight="1" spans="1:9">
      <c r="A13" s="194" t="s">
        <v>11</v>
      </c>
      <c r="B13" s="194" t="s">
        <v>12</v>
      </c>
      <c r="C13" s="194" t="s">
        <v>13</v>
      </c>
      <c r="D13" s="194"/>
      <c r="E13" s="194" t="s">
        <v>14</v>
      </c>
      <c r="F13" s="194" t="s">
        <v>15</v>
      </c>
      <c r="G13" s="194"/>
      <c r="H13" s="194" t="s">
        <v>16</v>
      </c>
      <c r="I13" s="194"/>
    </row>
    <row r="14" s="184" customFormat="1" ht="20" customHeight="1" spans="1:9">
      <c r="A14" s="195">
        <v>1</v>
      </c>
      <c r="B14" s="195" t="s">
        <v>17</v>
      </c>
      <c r="C14" s="195">
        <v>545</v>
      </c>
      <c r="D14" s="195"/>
      <c r="E14" s="196" t="s">
        <v>18</v>
      </c>
      <c r="F14" s="195">
        <v>26.33</v>
      </c>
      <c r="G14" s="195"/>
      <c r="H14" s="195">
        <v>14349.85</v>
      </c>
      <c r="I14" s="195"/>
    </row>
    <row r="15" s="184" customFormat="1" ht="20" customHeight="1" spans="1:9">
      <c r="A15" s="194" t="s">
        <v>19</v>
      </c>
      <c r="B15" s="195">
        <v>14349.85</v>
      </c>
      <c r="C15" s="195"/>
      <c r="D15" s="195"/>
      <c r="E15" s="195"/>
      <c r="F15" s="195"/>
      <c r="G15" s="195"/>
      <c r="H15" s="195"/>
      <c r="I15" s="195"/>
    </row>
    <row r="16" s="184" customFormat="1" ht="20" customHeight="1" spans="1:9">
      <c r="A16" s="197" t="s">
        <v>18</v>
      </c>
      <c r="B16" s="195"/>
      <c r="C16" s="195"/>
      <c r="D16" s="195"/>
      <c r="E16" s="195"/>
      <c r="F16" s="195"/>
      <c r="G16" s="195"/>
      <c r="H16" s="195"/>
      <c r="I16" s="195"/>
    </row>
    <row r="17" s="185" customFormat="1" ht="15" customHeight="1" spans="1:9">
      <c r="A17" s="198"/>
      <c r="B17" s="199"/>
      <c r="C17" s="199"/>
      <c r="D17" s="199"/>
      <c r="E17" s="199"/>
      <c r="F17" s="199"/>
      <c r="G17" s="199"/>
      <c r="H17" s="199"/>
      <c r="I17" s="199"/>
    </row>
    <row r="18" s="185" customFormat="1" ht="15" customHeight="1" spans="1:9">
      <c r="A18" s="198"/>
      <c r="B18" s="199"/>
      <c r="C18" s="199"/>
      <c r="D18" s="199"/>
      <c r="E18" s="199"/>
      <c r="F18" s="199"/>
      <c r="G18" s="199"/>
      <c r="H18" s="199"/>
      <c r="I18" s="199"/>
    </row>
    <row r="19" s="185" customFormat="1" ht="15" customHeight="1" spans="1:9">
      <c r="A19" s="198"/>
      <c r="B19" s="199"/>
      <c r="C19" s="199"/>
      <c r="D19" s="199"/>
      <c r="E19" s="199"/>
      <c r="F19" s="199"/>
      <c r="G19" s="199"/>
      <c r="H19" s="199"/>
      <c r="I19" s="199"/>
    </row>
    <row r="20" ht="15" customHeight="1" spans="1:9">
      <c r="A20" s="190"/>
      <c r="B20" s="190"/>
      <c r="C20" s="190"/>
      <c r="D20" s="190"/>
      <c r="E20" s="190"/>
      <c r="F20" s="190"/>
      <c r="G20" s="190"/>
      <c r="H20" s="190"/>
      <c r="I20" s="190"/>
    </row>
    <row r="21" ht="15" customHeight="1" spans="1:9">
      <c r="A21" s="200" t="s">
        <v>20</v>
      </c>
      <c r="B21" s="200"/>
      <c r="C21" s="200"/>
      <c r="D21" s="190"/>
      <c r="E21" s="201">
        <v>46143</v>
      </c>
      <c r="F21" s="201"/>
      <c r="G21" s="190" t="s">
        <v>21</v>
      </c>
      <c r="H21" s="190"/>
      <c r="I21" s="190"/>
    </row>
    <row r="22" ht="15" customHeight="1" spans="1:9">
      <c r="A22" s="190" t="s">
        <v>22</v>
      </c>
      <c r="B22" s="200"/>
      <c r="C22" s="200"/>
      <c r="D22" s="200"/>
      <c r="E22" s="200"/>
      <c r="F22" s="200"/>
      <c r="G22" s="200"/>
      <c r="H22" s="200"/>
      <c r="I22" s="200"/>
    </row>
    <row r="23" ht="15" customHeight="1" spans="1:9">
      <c r="A23" s="190" t="s">
        <v>23</v>
      </c>
      <c r="B23" s="200"/>
      <c r="C23" s="200"/>
      <c r="D23" s="200"/>
      <c r="E23" s="200"/>
      <c r="F23" s="200"/>
      <c r="G23" s="200"/>
      <c r="H23" s="200"/>
      <c r="I23" s="200"/>
    </row>
    <row r="24" ht="15" customHeight="1" spans="1:9">
      <c r="A24" s="192" t="s">
        <v>24</v>
      </c>
      <c r="B24" s="192"/>
      <c r="C24" s="192"/>
      <c r="D24" s="192"/>
      <c r="E24" s="192"/>
      <c r="F24" s="192"/>
      <c r="G24" s="192"/>
      <c r="H24" s="192"/>
      <c r="I24" s="192"/>
    </row>
    <row r="25" ht="15" customHeight="1" spans="1:9">
      <c r="A25" s="192"/>
      <c r="B25" s="192"/>
      <c r="C25" s="192"/>
      <c r="D25" s="192"/>
      <c r="E25" s="192"/>
      <c r="F25" s="192"/>
      <c r="G25" s="192"/>
      <c r="H25" s="192"/>
      <c r="I25" s="192"/>
    </row>
    <row r="26" ht="15" customHeight="1" spans="1:9">
      <c r="A26" s="190" t="s">
        <v>25</v>
      </c>
      <c r="B26" s="200"/>
      <c r="C26" s="200"/>
      <c r="D26" s="200"/>
      <c r="E26" s="200"/>
      <c r="F26" s="200"/>
      <c r="G26" s="200"/>
      <c r="H26" s="200"/>
      <c r="I26" s="200"/>
    </row>
    <row r="27" ht="15" customHeight="1" spans="1:9">
      <c r="A27" s="190" t="s">
        <v>26</v>
      </c>
      <c r="B27" s="200"/>
      <c r="C27" s="200"/>
      <c r="D27" s="200"/>
      <c r="E27" s="200"/>
      <c r="F27" s="200"/>
      <c r="G27" s="200"/>
      <c r="H27" s="200"/>
      <c r="I27" s="200"/>
    </row>
    <row r="28" ht="15" customHeight="1" spans="1:9">
      <c r="A28" s="190" t="s">
        <v>27</v>
      </c>
      <c r="B28" s="200"/>
      <c r="C28" s="200"/>
      <c r="D28" s="200"/>
      <c r="E28" s="200"/>
      <c r="F28" s="200"/>
      <c r="G28" s="200"/>
      <c r="H28" s="200"/>
      <c r="I28" s="200"/>
    </row>
    <row r="29" ht="15" customHeight="1" spans="1:9">
      <c r="A29" s="192" t="s">
        <v>28</v>
      </c>
      <c r="B29" s="192"/>
      <c r="C29" s="192"/>
      <c r="D29" s="192"/>
      <c r="E29" s="192"/>
      <c r="F29" s="192"/>
      <c r="G29" s="192"/>
      <c r="H29" s="192"/>
      <c r="I29" s="192"/>
    </row>
    <row r="30" ht="15" customHeight="1" spans="1:9">
      <c r="A30" s="192"/>
      <c r="B30" s="192"/>
      <c r="C30" s="192"/>
      <c r="D30" s="192"/>
      <c r="E30" s="192"/>
      <c r="F30" s="192"/>
      <c r="G30" s="192"/>
      <c r="H30" s="192"/>
      <c r="I30" s="192"/>
    </row>
    <row r="31" ht="15" customHeight="1" spans="1:9">
      <c r="A31" s="190" t="s">
        <v>29</v>
      </c>
      <c r="B31" s="200"/>
      <c r="C31" s="200"/>
      <c r="D31" s="200"/>
      <c r="E31" s="200"/>
      <c r="F31" s="200"/>
      <c r="G31" s="200"/>
      <c r="H31" s="200"/>
      <c r="I31" s="200"/>
    </row>
    <row r="32" ht="15" customHeight="1" spans="1:9">
      <c r="A32" s="192" t="s">
        <v>30</v>
      </c>
      <c r="B32" s="192"/>
      <c r="C32" s="192"/>
      <c r="D32" s="192"/>
      <c r="E32" s="192"/>
      <c r="F32" s="192"/>
      <c r="G32" s="192"/>
      <c r="H32" s="192"/>
      <c r="I32" s="192"/>
    </row>
    <row r="33" ht="15" customHeight="1" spans="1:9">
      <c r="A33" s="192"/>
      <c r="B33" s="192"/>
      <c r="C33" s="192"/>
      <c r="D33" s="192"/>
      <c r="E33" s="192"/>
      <c r="F33" s="192"/>
      <c r="G33" s="192"/>
      <c r="H33" s="192"/>
      <c r="I33" s="192"/>
    </row>
    <row r="34" ht="15" customHeight="1" spans="1:9">
      <c r="A34" s="192"/>
      <c r="B34" s="192"/>
      <c r="C34" s="192"/>
      <c r="D34" s="192"/>
      <c r="E34" s="192"/>
      <c r="F34" s="192"/>
      <c r="G34" s="192"/>
      <c r="H34" s="192"/>
      <c r="I34" s="192"/>
    </row>
    <row r="35" ht="15" customHeight="1" spans="1:9">
      <c r="A35" s="192"/>
      <c r="B35" s="192"/>
      <c r="C35" s="192"/>
      <c r="D35" s="192"/>
      <c r="E35" s="192"/>
      <c r="F35" s="192"/>
      <c r="G35" s="192"/>
      <c r="H35" s="192"/>
      <c r="I35" s="192"/>
    </row>
    <row r="36" ht="15" customHeight="1" spans="1:9">
      <c r="A36" s="190" t="s">
        <v>2</v>
      </c>
      <c r="B36" s="202" t="s">
        <v>3</v>
      </c>
      <c r="C36" s="190"/>
      <c r="D36" s="190"/>
      <c r="E36" s="190"/>
      <c r="F36" s="190" t="s">
        <v>2</v>
      </c>
      <c r="G36" s="200" t="s">
        <v>0</v>
      </c>
      <c r="H36" s="200"/>
      <c r="I36" s="200"/>
    </row>
    <row r="37" ht="15" customHeight="1" spans="1:9">
      <c r="A37" s="190" t="s">
        <v>31</v>
      </c>
      <c r="B37" s="203" t="s">
        <v>32</v>
      </c>
      <c r="C37" s="203"/>
      <c r="D37" s="203"/>
      <c r="E37" s="203"/>
      <c r="F37" s="190" t="s">
        <v>31</v>
      </c>
      <c r="G37" s="192" t="s">
        <v>33</v>
      </c>
      <c r="H37" s="192"/>
      <c r="I37" s="192"/>
    </row>
    <row r="38" ht="15" customHeight="1" spans="1:9">
      <c r="A38" s="190"/>
      <c r="B38" s="203"/>
      <c r="C38" s="203"/>
      <c r="D38" s="203"/>
      <c r="E38" s="203"/>
      <c r="F38" s="190"/>
      <c r="G38" s="192"/>
      <c r="H38" s="192"/>
      <c r="I38" s="192"/>
    </row>
    <row r="39" ht="15" customHeight="1" spans="1:9">
      <c r="A39" s="190" t="s">
        <v>34</v>
      </c>
      <c r="B39" s="190"/>
      <c r="C39" s="190"/>
      <c r="D39" s="204" t="s">
        <v>35</v>
      </c>
      <c r="E39" s="190"/>
      <c r="F39" s="190" t="s">
        <v>34</v>
      </c>
      <c r="G39" s="190"/>
      <c r="H39" s="190"/>
      <c r="I39" s="200" t="s">
        <v>36</v>
      </c>
    </row>
    <row r="40" s="76" customFormat="1" ht="15" customHeight="1" spans="1:9">
      <c r="A40" s="200" t="s">
        <v>37</v>
      </c>
      <c r="B40" s="203" t="s">
        <v>38</v>
      </c>
      <c r="C40" s="203"/>
      <c r="D40" s="203"/>
      <c r="E40" s="203"/>
      <c r="F40" s="205" t="s">
        <v>37</v>
      </c>
      <c r="G40" s="192" t="s">
        <v>39</v>
      </c>
      <c r="H40" s="192"/>
      <c r="I40" s="192"/>
    </row>
    <row r="41" customFormat="1" ht="15" customHeight="1" spans="1:9">
      <c r="A41" s="190"/>
      <c r="B41" s="203"/>
      <c r="C41" s="203"/>
      <c r="D41" s="203"/>
      <c r="E41" s="203"/>
      <c r="F41" s="190"/>
      <c r="G41" s="192"/>
      <c r="H41" s="192"/>
      <c r="I41" s="192"/>
    </row>
    <row r="42" ht="15" customHeight="1" spans="1:9">
      <c r="A42" s="190" t="s">
        <v>40</v>
      </c>
      <c r="B42" s="206">
        <v>1.99000010400237e+16</v>
      </c>
      <c r="C42" s="206"/>
      <c r="D42" s="206"/>
      <c r="E42" s="206"/>
      <c r="F42" s="190" t="s">
        <v>40</v>
      </c>
      <c r="G42" s="207">
        <v>637974294993</v>
      </c>
      <c r="H42" s="207"/>
      <c r="I42" s="207"/>
    </row>
    <row r="43" ht="15" customHeight="1" spans="1:9">
      <c r="A43" s="190" t="s">
        <v>41</v>
      </c>
      <c r="B43" s="208">
        <v>46164</v>
      </c>
      <c r="C43" s="208"/>
      <c r="D43" s="190"/>
      <c r="E43" s="190"/>
      <c r="F43" s="190" t="s">
        <v>41</v>
      </c>
      <c r="G43" s="209">
        <v>46164</v>
      </c>
      <c r="H43" s="209"/>
      <c r="I43" s="209"/>
    </row>
    <row r="48" ht="27" customHeight="1" spans="1:9">
      <c r="A48" s="210" t="s">
        <v>3</v>
      </c>
      <c r="B48" s="210"/>
      <c r="C48" s="210"/>
      <c r="D48" s="210"/>
      <c r="E48" s="210"/>
      <c r="F48" s="210"/>
      <c r="G48" s="211" t="s">
        <v>42</v>
      </c>
      <c r="H48" s="211"/>
      <c r="I48" s="212"/>
    </row>
    <row r="49" ht="27" customHeight="1" spans="1:9">
      <c r="A49" s="213" t="s">
        <v>43</v>
      </c>
      <c r="B49" s="213"/>
      <c r="C49" s="213"/>
      <c r="D49" s="213"/>
      <c r="E49" s="213" t="s">
        <v>41</v>
      </c>
      <c r="F49" s="214">
        <v>46169</v>
      </c>
      <c r="H49" s="213"/>
      <c r="I49" s="212"/>
    </row>
    <row r="50" ht="27" customHeight="1" spans="1:9">
      <c r="A50" s="215" t="s">
        <v>44</v>
      </c>
      <c r="B50" s="216" t="s">
        <v>12</v>
      </c>
      <c r="C50" s="216" t="s">
        <v>45</v>
      </c>
      <c r="D50" s="216" t="s">
        <v>46</v>
      </c>
      <c r="E50" s="217" t="s">
        <v>47</v>
      </c>
      <c r="F50" s="217" t="s">
        <v>48</v>
      </c>
      <c r="G50" s="217" t="s">
        <v>49</v>
      </c>
      <c r="H50" s="216" t="s">
        <v>50</v>
      </c>
      <c r="I50" s="218" t="s">
        <v>51</v>
      </c>
    </row>
    <row r="51" ht="27" customHeight="1" spans="1:9">
      <c r="A51" s="219">
        <v>1</v>
      </c>
      <c r="B51" s="220" t="s">
        <v>17</v>
      </c>
      <c r="C51" s="220"/>
      <c r="D51" s="220" t="s">
        <v>52</v>
      </c>
      <c r="E51" s="221">
        <v>545</v>
      </c>
      <c r="F51" s="222">
        <v>26.33</v>
      </c>
      <c r="G51" s="223">
        <f>F51*E51</f>
        <v>14349.85</v>
      </c>
      <c r="H51" s="216"/>
      <c r="I51" s="218"/>
    </row>
    <row r="52" ht="27" customHeight="1" spans="1:9">
      <c r="A52" s="215"/>
      <c r="B52" s="224"/>
      <c r="C52" s="224"/>
      <c r="D52" s="224"/>
      <c r="E52" s="224"/>
      <c r="F52" s="224"/>
      <c r="G52" s="224"/>
      <c r="H52" s="216"/>
      <c r="I52" s="218"/>
    </row>
    <row r="53" ht="27" customHeight="1" spans="1:9">
      <c r="A53" s="215"/>
      <c r="B53" s="216"/>
      <c r="C53" s="216"/>
      <c r="D53" s="216"/>
      <c r="E53" s="217"/>
      <c r="F53" s="224"/>
      <c r="G53" s="217"/>
      <c r="H53" s="216"/>
      <c r="I53" s="218"/>
    </row>
    <row r="54" ht="27" customHeight="1" spans="1:9">
      <c r="A54" s="215"/>
      <c r="B54" s="216"/>
      <c r="C54" s="216"/>
      <c r="D54" s="217"/>
      <c r="E54" s="217"/>
      <c r="F54" s="217"/>
      <c r="G54" s="217"/>
      <c r="H54" s="216"/>
      <c r="I54" s="218"/>
    </row>
    <row r="55" ht="27" customHeight="1" spans="1:9">
      <c r="A55" s="215"/>
      <c r="B55" s="216"/>
      <c r="C55" s="216"/>
      <c r="D55" s="216"/>
      <c r="E55" s="217"/>
      <c r="F55" s="217"/>
      <c r="G55" s="217"/>
      <c r="H55" s="216"/>
      <c r="I55" s="218"/>
    </row>
    <row r="56" ht="27" customHeight="1" spans="1:9">
      <c r="A56" s="215"/>
      <c r="B56" s="216"/>
      <c r="C56" s="216"/>
      <c r="D56" s="216"/>
      <c r="E56" s="217"/>
      <c r="F56" s="217"/>
      <c r="G56" s="217"/>
      <c r="H56" s="216"/>
      <c r="I56" s="218"/>
    </row>
    <row r="57" ht="27" customHeight="1" spans="1:9">
      <c r="A57" s="215"/>
      <c r="B57" s="216" t="s">
        <v>19</v>
      </c>
      <c r="C57" s="216"/>
      <c r="D57" s="216"/>
      <c r="E57" s="220">
        <f>SUM(E51:E51)</f>
        <v>545</v>
      </c>
      <c r="F57" s="221"/>
      <c r="G57" s="221">
        <f>SUM(G51:G51)</f>
        <v>14349.85</v>
      </c>
      <c r="H57" s="216"/>
      <c r="I57" s="218"/>
    </row>
    <row r="58" ht="27" customHeight="1" spans="1:9">
      <c r="A58" s="215"/>
      <c r="B58" s="225" t="s">
        <v>53</v>
      </c>
      <c r="C58" s="226"/>
      <c r="D58" s="226"/>
      <c r="E58" s="227"/>
      <c r="F58" s="228" t="s">
        <v>54</v>
      </c>
      <c r="G58" s="229"/>
      <c r="H58" s="230"/>
      <c r="I58" s="218"/>
    </row>
  </sheetData>
  <mergeCells count="28">
    <mergeCell ref="A1:I1"/>
    <mergeCell ref="A2:I2"/>
    <mergeCell ref="A12:F12"/>
    <mergeCell ref="C13:D13"/>
    <mergeCell ref="F13:G13"/>
    <mergeCell ref="H13:I13"/>
    <mergeCell ref="C14:D14"/>
    <mergeCell ref="F14:G14"/>
    <mergeCell ref="H14:I14"/>
    <mergeCell ref="E21:F21"/>
    <mergeCell ref="B42:E42"/>
    <mergeCell ref="G42:I42"/>
    <mergeCell ref="B43:C43"/>
    <mergeCell ref="G43:I43"/>
    <mergeCell ref="A48:F48"/>
    <mergeCell ref="G48:H48"/>
    <mergeCell ref="B58:E58"/>
    <mergeCell ref="F58:H58"/>
    <mergeCell ref="I50:I58"/>
    <mergeCell ref="B40:E41"/>
    <mergeCell ref="G40:I41"/>
    <mergeCell ref="B37:E38"/>
    <mergeCell ref="G37:I38"/>
    <mergeCell ref="A9:I10"/>
    <mergeCell ref="B15:I16"/>
    <mergeCell ref="A24:I25"/>
    <mergeCell ref="A29:I30"/>
    <mergeCell ref="A32:I33"/>
  </mergeCells>
  <pageMargins left="0.75" right="0.75" top="1" bottom="1" header="0.5" footer="0.5"/>
  <pageSetup paperSize="9" orientation="portrait"/>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T41"/>
  <sheetViews>
    <sheetView zoomScale="40" zoomScaleNormal="40" workbookViewId="0">
      <selection activeCell="E13" sqref="E13:E18"/>
    </sheetView>
  </sheetViews>
  <sheetFormatPr defaultColWidth="9" defaultRowHeight="13.5"/>
  <cols>
    <col min="1" max="1" width="16.5833333333333" customWidth="1"/>
    <col min="5" max="5" width="25.9" customWidth="1"/>
    <col min="6" max="6" width="16.125" customWidth="1"/>
    <col min="9" max="9" width="15.2166666666667" customWidth="1"/>
    <col min="15" max="15" width="17.2666666666667" customWidth="1"/>
  </cols>
  <sheetData>
    <row r="1" ht="33.75" spans="1:20">
      <c r="A1" s="77" t="s">
        <v>55</v>
      </c>
      <c r="B1" s="77"/>
      <c r="C1" s="77"/>
      <c r="D1" s="77"/>
      <c r="E1" s="77"/>
      <c r="F1" s="77"/>
      <c r="G1" s="77"/>
      <c r="H1" s="77"/>
      <c r="I1" s="77"/>
      <c r="J1" s="77"/>
      <c r="K1" s="77"/>
      <c r="L1" s="77"/>
      <c r="M1" s="77"/>
      <c r="N1" s="77"/>
      <c r="O1" s="77"/>
      <c r="P1" s="77"/>
      <c r="Q1" s="77"/>
      <c r="R1" s="77"/>
      <c r="S1" s="77"/>
      <c r="T1" s="78"/>
    </row>
    <row r="2" ht="33.75" spans="1:20">
      <c r="A2" s="79" t="s">
        <v>56</v>
      </c>
      <c r="B2" s="79"/>
      <c r="C2" s="79"/>
      <c r="D2" s="79"/>
      <c r="E2" s="79"/>
      <c r="F2" s="79"/>
      <c r="G2" s="79"/>
      <c r="H2" s="79"/>
      <c r="I2" s="79"/>
      <c r="J2" s="79"/>
      <c r="K2" s="79"/>
      <c r="L2" s="79"/>
      <c r="M2" s="79"/>
      <c r="N2" s="79"/>
      <c r="O2" s="79"/>
      <c r="P2" s="79"/>
      <c r="Q2" s="79"/>
      <c r="R2" s="79"/>
      <c r="S2" s="79"/>
      <c r="T2" s="78"/>
    </row>
    <row r="3" ht="14.25" spans="1:20">
      <c r="A3" s="79"/>
      <c r="B3" s="79"/>
      <c r="C3" s="79"/>
      <c r="D3" s="79"/>
      <c r="E3" s="79"/>
      <c r="F3" s="79"/>
      <c r="G3" s="79"/>
      <c r="H3" s="79"/>
      <c r="I3" s="79"/>
      <c r="J3" s="79"/>
      <c r="K3" s="79"/>
      <c r="L3" s="79"/>
      <c r="M3" s="79"/>
      <c r="N3" s="79"/>
      <c r="O3" s="79"/>
      <c r="P3" s="79"/>
      <c r="Q3" s="79"/>
      <c r="R3" s="79"/>
      <c r="S3" s="79"/>
      <c r="T3" s="80"/>
    </row>
    <row r="4" ht="29.25" spans="1:20">
      <c r="A4" s="81" t="s">
        <v>57</v>
      </c>
      <c r="B4" s="81"/>
      <c r="C4" s="81"/>
      <c r="D4" s="81"/>
      <c r="E4" s="81"/>
      <c r="F4" s="81"/>
      <c r="G4" s="81"/>
      <c r="H4" s="81"/>
      <c r="I4" s="81"/>
      <c r="J4" s="81"/>
      <c r="K4" s="81"/>
      <c r="L4" s="81"/>
      <c r="M4" s="81"/>
      <c r="N4" s="81"/>
      <c r="O4" s="81"/>
      <c r="P4" s="81"/>
      <c r="Q4" s="81"/>
      <c r="R4" s="81"/>
      <c r="S4" s="81"/>
      <c r="T4" s="82"/>
    </row>
    <row r="5" spans="1:20">
      <c r="A5" s="81"/>
      <c r="B5" s="81"/>
      <c r="C5" s="81"/>
      <c r="D5" s="81"/>
      <c r="E5" s="81"/>
      <c r="F5" s="81"/>
      <c r="G5" s="81"/>
      <c r="H5" s="81"/>
      <c r="I5" s="81"/>
      <c r="J5" s="81"/>
      <c r="K5" s="81"/>
      <c r="L5" s="81"/>
      <c r="M5" s="81"/>
      <c r="N5" s="81"/>
      <c r="O5" s="81"/>
      <c r="P5" s="81"/>
      <c r="Q5" s="81"/>
      <c r="R5" s="81"/>
      <c r="S5" s="81"/>
      <c r="T5" s="83"/>
    </row>
    <row r="6" ht="16.5" spans="1:20">
      <c r="A6" s="84"/>
      <c r="B6" s="85" t="s">
        <v>58</v>
      </c>
      <c r="C6" s="85"/>
      <c r="D6" s="85"/>
      <c r="E6" s="85"/>
      <c r="F6" s="86"/>
      <c r="G6" s="87"/>
      <c r="H6" s="88"/>
      <c r="I6" s="80"/>
      <c r="J6" s="79" t="s">
        <v>59</v>
      </c>
      <c r="K6" s="89" t="s">
        <v>60</v>
      </c>
      <c r="L6" s="89"/>
      <c r="M6" s="89"/>
      <c r="N6" s="89"/>
      <c r="O6" s="89"/>
      <c r="P6" s="90"/>
      <c r="Q6" s="90"/>
      <c r="R6" s="90"/>
      <c r="S6" s="91"/>
      <c r="T6" s="80"/>
    </row>
    <row r="7" ht="16.5" spans="1:20">
      <c r="A7" s="84"/>
      <c r="B7" s="92" t="s">
        <v>61</v>
      </c>
      <c r="C7" s="92"/>
      <c r="D7" s="92"/>
      <c r="E7" s="92"/>
      <c r="F7" s="92"/>
      <c r="G7" s="92"/>
      <c r="H7" s="92"/>
      <c r="I7" s="93"/>
      <c r="J7" s="79" t="s">
        <v>62</v>
      </c>
      <c r="K7" s="94" t="s">
        <v>63</v>
      </c>
      <c r="L7" s="94"/>
      <c r="M7" s="94"/>
      <c r="N7" s="94"/>
      <c r="O7" s="94"/>
      <c r="P7" s="90"/>
      <c r="Q7" s="90"/>
      <c r="R7" s="90"/>
      <c r="S7" s="91"/>
      <c r="T7" s="93"/>
    </row>
    <row r="8" ht="16.5" spans="1:20">
      <c r="A8" s="84"/>
      <c r="B8" s="85" t="s">
        <v>64</v>
      </c>
      <c r="C8" s="95" t="s">
        <v>65</v>
      </c>
      <c r="D8" s="95"/>
      <c r="E8" s="95"/>
      <c r="F8" s="86"/>
      <c r="G8" s="87"/>
      <c r="H8" s="96"/>
      <c r="I8" s="93"/>
      <c r="J8" s="79" t="s">
        <v>66</v>
      </c>
      <c r="K8" s="97" t="s">
        <v>67</v>
      </c>
      <c r="L8" s="97"/>
      <c r="M8" s="94"/>
      <c r="N8" s="94"/>
      <c r="O8" s="94"/>
      <c r="P8" s="90"/>
      <c r="Q8" s="90"/>
      <c r="R8" s="90"/>
      <c r="S8" s="91"/>
      <c r="T8" s="93"/>
    </row>
    <row r="9" ht="16.5" spans="1:20">
      <c r="A9" s="84"/>
      <c r="B9" s="85" t="s">
        <v>68</v>
      </c>
      <c r="C9" s="98" t="s">
        <v>69</v>
      </c>
      <c r="D9" s="95"/>
      <c r="E9" s="95"/>
      <c r="F9" s="86"/>
      <c r="G9" s="87"/>
      <c r="H9" s="96"/>
      <c r="I9" s="93"/>
      <c r="J9" s="79" t="s">
        <v>68</v>
      </c>
      <c r="K9" s="99"/>
      <c r="L9" s="99"/>
      <c r="M9" s="99"/>
      <c r="N9" s="99"/>
      <c r="O9" s="97"/>
      <c r="P9" s="90"/>
      <c r="Q9" s="90"/>
      <c r="R9" s="90"/>
      <c r="S9" s="91"/>
      <c r="T9" s="93"/>
    </row>
    <row r="10" ht="16.5" spans="1:20">
      <c r="A10" s="84"/>
      <c r="B10" s="100" t="s">
        <v>70</v>
      </c>
      <c r="C10" s="95"/>
      <c r="D10" s="95"/>
      <c r="E10" s="95"/>
      <c r="F10" s="86"/>
      <c r="G10" s="87"/>
      <c r="H10" s="96"/>
      <c r="I10" s="93"/>
      <c r="J10" s="79" t="s">
        <v>71</v>
      </c>
      <c r="K10" s="101" t="s">
        <v>72</v>
      </c>
      <c r="L10" s="101"/>
      <c r="M10" s="102"/>
      <c r="N10" s="97"/>
      <c r="O10" s="97"/>
      <c r="P10" s="90"/>
      <c r="Q10" s="90"/>
      <c r="R10" s="90"/>
      <c r="S10" s="91"/>
      <c r="T10" s="93"/>
    </row>
    <row r="11" ht="16.5" spans="1:20">
      <c r="A11" s="84"/>
      <c r="B11" s="100" t="s">
        <v>73</v>
      </c>
      <c r="C11" s="103"/>
      <c r="D11" s="103"/>
      <c r="E11" s="103"/>
      <c r="F11" s="104"/>
      <c r="G11" s="104"/>
      <c r="H11" s="104"/>
      <c r="I11" s="83"/>
      <c r="J11" s="80" t="s">
        <v>74</v>
      </c>
      <c r="K11" s="88" t="s">
        <v>75</v>
      </c>
      <c r="L11" s="80"/>
      <c r="M11" s="80"/>
      <c r="N11" s="80"/>
      <c r="O11" s="80"/>
      <c r="P11" s="105"/>
      <c r="Q11" s="83"/>
      <c r="R11" s="83"/>
      <c r="S11" s="83"/>
      <c r="T11" s="83"/>
    </row>
    <row r="12" s="76" customFormat="1" ht="42.75" spans="1:20">
      <c r="A12" s="106" t="s">
        <v>76</v>
      </c>
      <c r="B12" s="106" t="s">
        <v>77</v>
      </c>
      <c r="C12" s="106" t="s">
        <v>78</v>
      </c>
      <c r="D12" s="106" t="s">
        <v>79</v>
      </c>
      <c r="E12" s="106" t="s">
        <v>80</v>
      </c>
      <c r="F12" s="106" t="s">
        <v>81</v>
      </c>
      <c r="G12" s="106" t="s">
        <v>82</v>
      </c>
      <c r="H12" s="106" t="s">
        <v>83</v>
      </c>
      <c r="I12" s="106" t="s">
        <v>84</v>
      </c>
      <c r="J12" s="106" t="s">
        <v>85</v>
      </c>
      <c r="K12" s="106" t="s">
        <v>86</v>
      </c>
      <c r="L12" s="106" t="s">
        <v>87</v>
      </c>
      <c r="M12" s="106" t="s">
        <v>88</v>
      </c>
      <c r="N12" s="106" t="s">
        <v>89</v>
      </c>
      <c r="O12" s="106" t="s">
        <v>90</v>
      </c>
      <c r="P12" s="106" t="s">
        <v>91</v>
      </c>
      <c r="Q12" s="106" t="s">
        <v>92</v>
      </c>
      <c r="R12" s="106" t="s">
        <v>93</v>
      </c>
      <c r="S12" s="106" t="s">
        <v>94</v>
      </c>
      <c r="T12" s="106" t="s">
        <v>50</v>
      </c>
    </row>
    <row r="13" ht="106" customHeight="1" spans="1:20">
      <c r="A13" s="107">
        <v>3926100000</v>
      </c>
      <c r="B13" s="108"/>
      <c r="C13" s="108"/>
      <c r="D13" s="109" t="s">
        <v>95</v>
      </c>
      <c r="E13" s="108"/>
      <c r="F13" s="110"/>
      <c r="G13" s="110"/>
      <c r="H13" s="111">
        <v>70</v>
      </c>
      <c r="I13" s="112">
        <v>176.73</v>
      </c>
      <c r="J13" s="110"/>
      <c r="K13" s="110"/>
      <c r="L13" s="110"/>
      <c r="M13" s="110"/>
      <c r="N13" s="110"/>
      <c r="O13" s="113">
        <f t="shared" ref="O13:O18" si="0">H13*I13</f>
        <v>12371.1</v>
      </c>
      <c r="P13" s="114"/>
      <c r="Q13" s="114"/>
      <c r="R13" s="114"/>
      <c r="S13" s="114"/>
      <c r="T13" s="114"/>
    </row>
    <row r="14" ht="106" customHeight="1" spans="1:20">
      <c r="A14" s="115" t="s">
        <v>96</v>
      </c>
      <c r="B14" s="115"/>
      <c r="C14" s="108"/>
      <c r="D14" s="109" t="s">
        <v>97</v>
      </c>
      <c r="E14" s="116"/>
      <c r="F14" s="117"/>
      <c r="G14" s="111"/>
      <c r="H14" s="111">
        <v>1690</v>
      </c>
      <c r="I14" s="112">
        <v>20.04</v>
      </c>
      <c r="J14" s="118"/>
      <c r="K14" s="118"/>
      <c r="L14" s="118"/>
      <c r="M14" s="119"/>
      <c r="N14" s="120"/>
      <c r="O14" s="113">
        <f t="shared" si="0"/>
        <v>33867.6</v>
      </c>
      <c r="P14" s="121"/>
      <c r="Q14" s="121"/>
      <c r="R14" s="122"/>
      <c r="S14" s="122"/>
      <c r="T14" s="123"/>
    </row>
    <row r="15" ht="106" customHeight="1" spans="1:20">
      <c r="A15" s="107">
        <v>3924900000</v>
      </c>
      <c r="B15" s="108"/>
      <c r="C15" s="108"/>
      <c r="D15" s="109" t="s">
        <v>98</v>
      </c>
      <c r="E15" s="116"/>
      <c r="F15" s="117"/>
      <c r="G15" s="111"/>
      <c r="H15" s="111">
        <v>55</v>
      </c>
      <c r="I15" s="112">
        <v>441.21</v>
      </c>
      <c r="J15" s="118"/>
      <c r="K15" s="118"/>
      <c r="L15" s="118"/>
      <c r="M15" s="119"/>
      <c r="N15" s="124"/>
      <c r="O15" s="113">
        <f t="shared" si="0"/>
        <v>24266.55</v>
      </c>
      <c r="P15" s="121"/>
      <c r="Q15" s="121"/>
      <c r="R15" s="122"/>
      <c r="S15" s="122"/>
      <c r="T15" s="123"/>
    </row>
    <row r="16" ht="106" customHeight="1" spans="1:20">
      <c r="A16" s="115" t="s">
        <v>96</v>
      </c>
      <c r="B16" s="108"/>
      <c r="C16" s="108"/>
      <c r="D16" s="109" t="s">
        <v>99</v>
      </c>
      <c r="E16" s="116"/>
      <c r="F16" s="117"/>
      <c r="G16" s="111"/>
      <c r="H16" s="111">
        <v>242</v>
      </c>
      <c r="I16" s="112">
        <v>241.92</v>
      </c>
      <c r="J16" s="118"/>
      <c r="K16" s="118"/>
      <c r="L16" s="118"/>
      <c r="M16" s="119"/>
      <c r="N16" s="124"/>
      <c r="O16" s="113">
        <f t="shared" si="0"/>
        <v>58544.64</v>
      </c>
      <c r="P16" s="121"/>
      <c r="Q16" s="121"/>
      <c r="R16" s="122"/>
      <c r="S16" s="122"/>
      <c r="T16" s="123"/>
    </row>
    <row r="17" ht="106" customHeight="1" spans="1:20">
      <c r="A17" s="125">
        <v>9603909090</v>
      </c>
      <c r="B17" s="126"/>
      <c r="C17" s="126"/>
      <c r="D17" s="109" t="s">
        <v>100</v>
      </c>
      <c r="E17" s="127"/>
      <c r="F17" s="117"/>
      <c r="G17" s="111"/>
      <c r="H17" s="111">
        <v>24</v>
      </c>
      <c r="I17" s="112">
        <v>451.59</v>
      </c>
      <c r="J17" s="118"/>
      <c r="K17" s="118"/>
      <c r="L17" s="118"/>
      <c r="M17" s="119"/>
      <c r="N17" s="124"/>
      <c r="O17" s="113">
        <f t="shared" si="0"/>
        <v>10838.16</v>
      </c>
      <c r="P17" s="121"/>
      <c r="Q17" s="121"/>
      <c r="R17" s="122"/>
      <c r="S17" s="122"/>
      <c r="T17" s="123"/>
    </row>
    <row r="18" ht="106" customHeight="1" spans="1:20">
      <c r="A18" s="125">
        <v>9603909090</v>
      </c>
      <c r="B18" s="126"/>
      <c r="C18" s="126"/>
      <c r="D18" s="109" t="s">
        <v>100</v>
      </c>
      <c r="E18" s="127"/>
      <c r="F18" s="117"/>
      <c r="G18" s="111"/>
      <c r="H18" s="111">
        <v>10</v>
      </c>
      <c r="I18" s="112">
        <v>481.7</v>
      </c>
      <c r="J18" s="118"/>
      <c r="K18" s="118"/>
      <c r="L18" s="118"/>
      <c r="M18" s="119"/>
      <c r="N18" s="124"/>
      <c r="O18" s="113">
        <f t="shared" si="0"/>
        <v>4817</v>
      </c>
      <c r="P18" s="121"/>
      <c r="Q18" s="121"/>
      <c r="R18" s="122"/>
      <c r="S18" s="122"/>
      <c r="T18" s="123"/>
    </row>
    <row r="19" ht="16.5" spans="1:20">
      <c r="A19" s="121"/>
      <c r="B19" s="128"/>
      <c r="C19" s="128"/>
      <c r="D19" s="129"/>
      <c r="E19" s="130"/>
      <c r="F19" s="131"/>
      <c r="G19" s="132"/>
      <c r="H19" s="132"/>
      <c r="I19" s="133"/>
      <c r="J19" s="134"/>
      <c r="K19" s="134"/>
      <c r="L19" s="134"/>
      <c r="M19" s="135"/>
      <c r="N19" s="122"/>
      <c r="O19" s="136"/>
      <c r="P19" s="121"/>
      <c r="Q19" s="121"/>
      <c r="R19" s="122"/>
      <c r="S19" s="122"/>
      <c r="T19" s="123"/>
    </row>
    <row r="20" ht="16.5" spans="1:20">
      <c r="A20" s="121"/>
      <c r="B20" s="128"/>
      <c r="C20" s="128"/>
      <c r="D20" s="129"/>
      <c r="E20" s="130"/>
      <c r="F20" s="131"/>
      <c r="G20" s="132"/>
      <c r="H20" s="132"/>
      <c r="I20" s="133"/>
      <c r="J20" s="134"/>
      <c r="K20" s="134"/>
      <c r="L20" s="134"/>
      <c r="M20" s="135"/>
      <c r="N20" s="122"/>
      <c r="O20" s="136"/>
      <c r="P20" s="121"/>
      <c r="Q20" s="121"/>
      <c r="R20" s="122"/>
      <c r="S20" s="122"/>
      <c r="T20" s="123"/>
    </row>
    <row r="21" ht="16.5" spans="1:20">
      <c r="A21" s="128" t="s">
        <v>101</v>
      </c>
      <c r="B21" s="128"/>
      <c r="C21" s="128"/>
      <c r="D21" s="128"/>
      <c r="E21" s="128"/>
      <c r="F21" s="128"/>
      <c r="G21" s="128"/>
      <c r="H21" s="111">
        <f>SUM(H13:H20)</f>
        <v>2091</v>
      </c>
      <c r="I21" s="132"/>
      <c r="J21" s="137"/>
      <c r="K21" s="137"/>
      <c r="L21" s="137"/>
      <c r="M21" s="138"/>
      <c r="N21" s="139"/>
      <c r="O21" s="113">
        <f>SUM(O13:O20)</f>
        <v>144705.05</v>
      </c>
      <c r="P21" s="128"/>
      <c r="Q21" s="140"/>
      <c r="R21" s="140"/>
      <c r="S21" s="141"/>
      <c r="T21" s="128"/>
    </row>
    <row r="22" ht="16.5" spans="1:20">
      <c r="A22" s="142" t="s">
        <v>102</v>
      </c>
      <c r="B22" s="142"/>
      <c r="C22" s="142"/>
      <c r="D22" s="142"/>
      <c r="E22" s="143">
        <f>O21</f>
        <v>144705.05</v>
      </c>
      <c r="F22" s="143"/>
      <c r="G22" s="143"/>
      <c r="H22" s="143"/>
      <c r="I22" s="143"/>
      <c r="J22" s="143"/>
      <c r="K22" s="143"/>
      <c r="L22" s="143"/>
      <c r="M22" s="143"/>
      <c r="N22" s="143"/>
      <c r="O22" s="143"/>
      <c r="P22" s="143"/>
      <c r="Q22" s="143"/>
      <c r="R22" s="143"/>
      <c r="S22" s="143"/>
      <c r="T22" s="143"/>
    </row>
    <row r="23" spans="1:20">
      <c r="A23" s="144"/>
      <c r="B23" s="144"/>
      <c r="C23" s="144"/>
      <c r="D23" s="144"/>
      <c r="E23" s="144"/>
      <c r="F23" s="144"/>
      <c r="G23" s="144"/>
      <c r="H23" s="144"/>
      <c r="I23" s="144"/>
      <c r="J23" s="144"/>
      <c r="K23" s="144"/>
      <c r="L23" s="144"/>
      <c r="M23" s="144"/>
      <c r="N23" s="144"/>
      <c r="O23" s="144"/>
      <c r="P23" s="144"/>
      <c r="Q23" s="144"/>
      <c r="R23" s="144"/>
      <c r="S23" s="144"/>
      <c r="T23" s="144"/>
    </row>
    <row r="24" ht="16.5" spans="1:20">
      <c r="A24" s="145" t="s">
        <v>103</v>
      </c>
      <c r="B24" s="146"/>
      <c r="C24" s="146"/>
      <c r="D24" s="147"/>
      <c r="E24" s="148"/>
      <c r="F24" s="149" t="s">
        <v>104</v>
      </c>
      <c r="G24" s="145" t="s">
        <v>105</v>
      </c>
      <c r="H24" s="146"/>
      <c r="I24" s="146"/>
      <c r="J24" s="146"/>
      <c r="K24" s="146"/>
      <c r="L24" s="146"/>
      <c r="M24" s="146"/>
      <c r="N24" s="146"/>
      <c r="O24" s="146"/>
      <c r="P24" s="146"/>
      <c r="Q24" s="146"/>
      <c r="R24" s="146"/>
      <c r="S24" s="146"/>
      <c r="T24" s="150"/>
    </row>
    <row r="25" ht="48" customHeight="1" spans="1:20">
      <c r="A25" s="151" t="s">
        <v>106</v>
      </c>
      <c r="B25" s="152"/>
      <c r="C25" s="152"/>
      <c r="D25" s="152"/>
      <c r="E25" s="153"/>
      <c r="F25" s="154" t="s">
        <v>107</v>
      </c>
      <c r="G25" s="155"/>
      <c r="H25" s="147"/>
      <c r="I25" s="147"/>
      <c r="J25" s="147"/>
      <c r="K25" s="147"/>
      <c r="L25" s="147"/>
      <c r="M25" s="147"/>
      <c r="N25" s="147"/>
      <c r="O25" s="147"/>
      <c r="P25" s="147"/>
      <c r="Q25" s="147"/>
      <c r="R25" s="147"/>
      <c r="S25" s="147"/>
      <c r="T25" s="150"/>
    </row>
    <row r="26" ht="16.5" spans="1:20">
      <c r="A26" s="156" t="s">
        <v>108</v>
      </c>
      <c r="B26" s="157"/>
      <c r="C26" s="157"/>
      <c r="D26" s="158"/>
      <c r="E26" s="159"/>
      <c r="F26" s="160" t="s">
        <v>109</v>
      </c>
      <c r="G26" s="155"/>
      <c r="H26" s="147"/>
      <c r="I26" s="147"/>
      <c r="J26" s="147"/>
      <c r="K26" s="147"/>
      <c r="L26" s="147"/>
      <c r="M26" s="147"/>
      <c r="N26" s="147"/>
      <c r="O26" s="147"/>
      <c r="P26" s="147"/>
      <c r="Q26" s="147"/>
      <c r="R26" s="147"/>
      <c r="S26" s="147"/>
      <c r="T26" s="150"/>
    </row>
    <row r="27" ht="16.5" spans="1:20">
      <c r="A27" s="156" t="s">
        <v>110</v>
      </c>
      <c r="B27" s="157"/>
      <c r="C27" s="157"/>
      <c r="D27" s="158"/>
      <c r="E27" s="159"/>
      <c r="F27" s="160" t="s">
        <v>111</v>
      </c>
      <c r="G27" s="155"/>
      <c r="H27" s="147"/>
      <c r="I27" s="147"/>
      <c r="J27" s="147"/>
      <c r="K27" s="147"/>
      <c r="L27" s="147"/>
      <c r="M27" s="147"/>
      <c r="N27" s="147"/>
      <c r="O27" s="147"/>
      <c r="P27" s="147"/>
      <c r="Q27" s="147"/>
      <c r="R27" s="147"/>
      <c r="S27" s="147"/>
      <c r="T27" s="150"/>
    </row>
    <row r="28" ht="16.5" spans="1:20">
      <c r="A28" s="156" t="s">
        <v>112</v>
      </c>
      <c r="B28" s="157"/>
      <c r="C28" s="157"/>
      <c r="D28" s="158"/>
      <c r="E28" s="159"/>
      <c r="F28" s="160" t="s">
        <v>113</v>
      </c>
      <c r="G28" s="161"/>
      <c r="H28" s="162"/>
      <c r="I28" s="162"/>
      <c r="J28" s="162"/>
      <c r="K28" s="162"/>
      <c r="L28" s="162"/>
      <c r="M28" s="162"/>
      <c r="N28" s="162"/>
      <c r="O28" s="162"/>
      <c r="P28" s="162"/>
      <c r="Q28" s="162"/>
      <c r="R28" s="162"/>
      <c r="S28" s="162"/>
      <c r="T28" s="150"/>
    </row>
    <row r="29" ht="16.5" spans="1:20">
      <c r="A29" s="163" t="s">
        <v>114</v>
      </c>
      <c r="B29" s="164"/>
      <c r="C29" s="164"/>
      <c r="D29" s="164"/>
      <c r="E29" s="159"/>
      <c r="F29" s="165" t="s">
        <v>115</v>
      </c>
      <c r="G29" s="147"/>
      <c r="H29" s="147"/>
      <c r="I29" s="147"/>
      <c r="J29" s="147"/>
      <c r="K29" s="147"/>
      <c r="L29" s="147"/>
      <c r="M29" s="147"/>
      <c r="N29" s="147"/>
      <c r="O29" s="147"/>
      <c r="P29" s="147"/>
      <c r="Q29" s="147"/>
      <c r="R29" s="147"/>
      <c r="S29" s="147"/>
      <c r="T29" s="166"/>
    </row>
    <row r="30" ht="16.5" spans="1:20">
      <c r="A30" s="151" t="s">
        <v>116</v>
      </c>
      <c r="B30" s="152"/>
      <c r="C30" s="152"/>
      <c r="D30" s="152"/>
      <c r="E30" s="153"/>
      <c r="F30" s="167"/>
      <c r="G30" s="158"/>
      <c r="H30" s="158"/>
      <c r="I30" s="158"/>
      <c r="J30" s="158"/>
      <c r="K30" s="158"/>
      <c r="L30" s="158"/>
      <c r="M30" s="158"/>
      <c r="N30" s="158"/>
      <c r="O30" s="158"/>
      <c r="P30" s="158"/>
      <c r="Q30" s="158"/>
      <c r="R30" s="158"/>
      <c r="S30" s="158"/>
      <c r="T30" s="168"/>
    </row>
    <row r="31" s="76" customFormat="1" ht="33" customHeight="1" spans="1:20">
      <c r="A31" s="151" t="s">
        <v>117</v>
      </c>
      <c r="B31" s="152"/>
      <c r="C31" s="152"/>
      <c r="D31" s="152"/>
      <c r="E31" s="153"/>
      <c r="F31" s="169"/>
      <c r="G31" s="170"/>
      <c r="H31" s="170"/>
      <c r="I31" s="170"/>
      <c r="J31" s="170"/>
      <c r="K31" s="170"/>
      <c r="L31" s="170"/>
      <c r="M31" s="170"/>
      <c r="N31" s="170"/>
      <c r="O31" s="170"/>
      <c r="P31" s="170"/>
      <c r="Q31" s="170"/>
      <c r="R31" s="170"/>
      <c r="S31" s="170"/>
      <c r="T31" s="171"/>
    </row>
    <row r="32" s="76" customFormat="1" ht="33" customHeight="1" spans="1:20">
      <c r="A32" s="151" t="s">
        <v>118</v>
      </c>
      <c r="B32" s="152"/>
      <c r="C32" s="152"/>
      <c r="D32" s="152"/>
      <c r="E32" s="153"/>
      <c r="F32" s="169"/>
      <c r="G32" s="170"/>
      <c r="H32" s="170"/>
      <c r="I32" s="170"/>
      <c r="J32" s="170"/>
      <c r="K32" s="170"/>
      <c r="L32" s="170"/>
      <c r="M32" s="170"/>
      <c r="N32" s="170"/>
      <c r="O32" s="170"/>
      <c r="P32" s="170"/>
      <c r="Q32" s="170"/>
      <c r="R32" s="170"/>
      <c r="S32" s="170"/>
      <c r="T32" s="171"/>
    </row>
    <row r="33" s="76" customFormat="1" ht="33" customHeight="1" spans="1:20">
      <c r="A33" s="151" t="s">
        <v>119</v>
      </c>
      <c r="B33" s="152"/>
      <c r="C33" s="152"/>
      <c r="D33" s="152"/>
      <c r="E33" s="153"/>
      <c r="F33" s="169"/>
      <c r="G33" s="170"/>
      <c r="H33" s="170"/>
      <c r="I33" s="170"/>
      <c r="J33" s="170"/>
      <c r="K33" s="170"/>
      <c r="L33" s="170"/>
      <c r="M33" s="170"/>
      <c r="N33" s="170"/>
      <c r="O33" s="170"/>
      <c r="P33" s="170"/>
      <c r="Q33" s="170"/>
      <c r="R33" s="170"/>
      <c r="S33" s="170"/>
      <c r="T33" s="171"/>
    </row>
    <row r="34" ht="16.5" spans="1:20">
      <c r="A34" s="151" t="s">
        <v>120</v>
      </c>
      <c r="B34" s="152"/>
      <c r="C34" s="152"/>
      <c r="D34" s="152"/>
      <c r="E34" s="153"/>
      <c r="F34" s="167"/>
      <c r="G34" s="158"/>
      <c r="H34" s="158"/>
      <c r="I34" s="158"/>
      <c r="J34" s="158"/>
      <c r="K34" s="158"/>
      <c r="L34" s="158"/>
      <c r="M34" s="158"/>
      <c r="N34" s="158"/>
      <c r="O34" s="158"/>
      <c r="P34" s="158"/>
      <c r="Q34" s="158"/>
      <c r="R34" s="158"/>
      <c r="S34" s="158"/>
      <c r="T34" s="168"/>
    </row>
    <row r="35" ht="16.5" spans="1:20">
      <c r="A35" s="151" t="s">
        <v>121</v>
      </c>
      <c r="B35" s="152"/>
      <c r="C35" s="152"/>
      <c r="D35" s="152"/>
      <c r="E35" s="153"/>
      <c r="F35" s="167"/>
      <c r="G35" s="158"/>
      <c r="H35" s="158"/>
      <c r="I35" s="158"/>
      <c r="J35" s="158"/>
      <c r="K35" s="158"/>
      <c r="L35" s="158"/>
      <c r="M35" s="158"/>
      <c r="N35" s="158"/>
      <c r="O35" s="158"/>
      <c r="P35" s="158"/>
      <c r="Q35" s="158"/>
      <c r="R35" s="158"/>
      <c r="S35" s="158"/>
      <c r="T35" s="168"/>
    </row>
    <row r="36" ht="16.5" spans="1:20">
      <c r="A36" s="172" t="s">
        <v>122</v>
      </c>
      <c r="B36" s="173"/>
      <c r="C36" s="173"/>
      <c r="D36" s="173"/>
      <c r="E36" s="174"/>
      <c r="F36" s="175"/>
      <c r="G36" s="176"/>
      <c r="H36" s="176"/>
      <c r="I36" s="176"/>
      <c r="J36" s="176"/>
      <c r="K36" s="176"/>
      <c r="L36" s="176"/>
      <c r="M36" s="176"/>
      <c r="N36" s="176"/>
      <c r="O36" s="176"/>
      <c r="P36" s="176"/>
      <c r="Q36" s="176"/>
      <c r="R36" s="176"/>
      <c r="S36" s="176"/>
      <c r="T36" s="177"/>
    </row>
    <row r="37" ht="66" customHeight="1" spans="1:20">
      <c r="A37" s="178" t="s">
        <v>123</v>
      </c>
      <c r="B37" s="179"/>
      <c r="C37" s="179"/>
      <c r="D37" s="179"/>
      <c r="E37" s="179"/>
      <c r="F37" s="179"/>
      <c r="G37" s="179"/>
      <c r="H37" s="179"/>
      <c r="I37" s="179"/>
      <c r="J37" s="179"/>
      <c r="K37" s="179"/>
      <c r="L37" s="179"/>
      <c r="M37" s="179"/>
      <c r="N37" s="179"/>
      <c r="O37" s="179"/>
      <c r="P37" s="179"/>
      <c r="Q37" s="179"/>
      <c r="R37" s="179"/>
      <c r="S37" s="179"/>
      <c r="T37" s="180"/>
    </row>
    <row r="38" ht="103" customHeight="1" spans="1:20">
      <c r="A38" s="181"/>
      <c r="B38" s="182"/>
      <c r="C38" s="182"/>
      <c r="D38" s="182"/>
      <c r="E38" s="182"/>
      <c r="F38" s="182"/>
      <c r="G38" s="182"/>
      <c r="H38" s="182"/>
      <c r="I38" s="182"/>
      <c r="J38" s="182"/>
      <c r="K38" s="182"/>
      <c r="L38" s="182"/>
      <c r="M38" s="182"/>
      <c r="N38" s="182"/>
      <c r="O38" s="182"/>
      <c r="P38" s="182"/>
      <c r="Q38" s="182"/>
      <c r="R38" s="182"/>
      <c r="S38" s="182"/>
      <c r="T38" s="183"/>
    </row>
    <row r="41" ht="39" customHeight="1"/>
  </sheetData>
  <mergeCells count="30">
    <mergeCell ref="A1:S1"/>
    <mergeCell ref="B7:H7"/>
    <mergeCell ref="K7:O7"/>
    <mergeCell ref="C8:E8"/>
    <mergeCell ref="K8:L8"/>
    <mergeCell ref="C9:E9"/>
    <mergeCell ref="K9:N9"/>
    <mergeCell ref="K10:L10"/>
    <mergeCell ref="A21:G21"/>
    <mergeCell ref="A22:D22"/>
    <mergeCell ref="E22:T22"/>
    <mergeCell ref="A23:T23"/>
    <mergeCell ref="G24:S24"/>
    <mergeCell ref="A25:E25"/>
    <mergeCell ref="G25:S25"/>
    <mergeCell ref="G26:S26"/>
    <mergeCell ref="G27:S27"/>
    <mergeCell ref="G28:S28"/>
    <mergeCell ref="A30:E30"/>
    <mergeCell ref="A31:E31"/>
    <mergeCell ref="A32:E32"/>
    <mergeCell ref="A33:E33"/>
    <mergeCell ref="A34:E34"/>
    <mergeCell ref="A35:E35"/>
    <mergeCell ref="A36:E36"/>
    <mergeCell ref="F29:F36"/>
    <mergeCell ref="A2:S3"/>
    <mergeCell ref="A4:S5"/>
    <mergeCell ref="G29:T36"/>
    <mergeCell ref="A37:S38"/>
  </mergeCells>
  <hyperlinks>
    <hyperlink ref="C9" r:id="rId2" display="373174403@qq.com"/>
  </hyperlinks>
  <pageMargins left="0.75" right="0.75" top="1" bottom="1" header="0.5" footer="0.5"/>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9"/>
  <sheetViews>
    <sheetView zoomScale="115" zoomScaleNormal="115" topLeftCell="A9" workbookViewId="0">
      <selection activeCell="F10" sqref="F10:G10"/>
    </sheetView>
  </sheetViews>
  <sheetFormatPr defaultColWidth="9" defaultRowHeight="13.5"/>
  <cols>
    <col min="1" max="1" width="4.25" customWidth="1"/>
    <col min="2" max="2" width="11.95" customWidth="1"/>
    <col min="3" max="3" width="13.2583333333333" customWidth="1"/>
    <col min="4" max="4" width="9.75" customWidth="1"/>
    <col min="5" max="5" width="12" customWidth="1"/>
    <col min="6" max="6" width="6.84166666666667" customWidth="1"/>
    <col min="7" max="7" width="9" customWidth="1"/>
    <col min="8" max="8" width="10.125" customWidth="1"/>
    <col min="9" max="9" width="7.875" customWidth="1"/>
  </cols>
  <sheetData>
    <row r="1" ht="55" customHeight="1" spans="1:9">
      <c r="A1" s="2" t="s">
        <v>124</v>
      </c>
      <c r="B1" s="2"/>
      <c r="C1" s="2"/>
      <c r="D1" s="2"/>
      <c r="E1" s="2"/>
      <c r="F1" s="2"/>
      <c r="G1" s="2"/>
      <c r="H1" s="2"/>
      <c r="I1" s="2"/>
    </row>
    <row r="2" s="1" customFormat="1" ht="13" customHeight="1" spans="1:9">
      <c r="A2" s="3" t="s">
        <v>125</v>
      </c>
      <c r="B2" s="3"/>
      <c r="C2" s="3"/>
      <c r="D2" s="4"/>
      <c r="E2" s="4"/>
      <c r="F2" s="4"/>
      <c r="G2" s="4"/>
      <c r="H2" s="4"/>
      <c r="I2" s="4"/>
    </row>
    <row r="3" s="1" customFormat="1" ht="13" customHeight="1" spans="1:9">
      <c r="A3" s="5" t="s">
        <v>126</v>
      </c>
      <c r="B3" s="6"/>
      <c r="C3" s="6"/>
      <c r="D3" s="7" t="s">
        <v>127</v>
      </c>
      <c r="E3" s="7"/>
      <c r="F3" s="7" t="s">
        <v>128</v>
      </c>
      <c r="G3" s="7"/>
      <c r="H3" s="8" t="s">
        <v>129</v>
      </c>
      <c r="I3" s="8" t="s">
        <v>130</v>
      </c>
    </row>
    <row r="4" s="1" customFormat="1" ht="13" customHeight="1" spans="1:9">
      <c r="A4" s="9" t="s">
        <v>0</v>
      </c>
      <c r="B4" s="10"/>
      <c r="C4" s="10"/>
      <c r="D4" s="7"/>
      <c r="E4" s="7"/>
      <c r="F4" s="11"/>
      <c r="G4" s="7"/>
      <c r="H4" s="8"/>
      <c r="I4" s="8"/>
    </row>
    <row r="5" s="1" customFormat="1" ht="13" customHeight="1" spans="1:9">
      <c r="A5" s="12" t="s">
        <v>131</v>
      </c>
      <c r="B5" s="13"/>
      <c r="C5" s="13"/>
      <c r="D5" s="14" t="s">
        <v>132</v>
      </c>
      <c r="E5" s="15"/>
      <c r="F5" s="11" t="s">
        <v>133</v>
      </c>
      <c r="G5" s="7"/>
      <c r="H5" s="8" t="s">
        <v>134</v>
      </c>
      <c r="I5" s="8"/>
    </row>
    <row r="6" s="1" customFormat="1" ht="13" customHeight="1" spans="1:9">
      <c r="A6" s="16" t="s">
        <v>135</v>
      </c>
      <c r="B6" s="17"/>
      <c r="C6" s="17"/>
      <c r="D6" s="18" t="s">
        <v>136</v>
      </c>
      <c r="E6" s="19"/>
      <c r="F6" s="11"/>
      <c r="G6" s="7"/>
      <c r="H6" s="8"/>
      <c r="I6" s="8"/>
    </row>
    <row r="7" s="1" customFormat="1" ht="13" customHeight="1" spans="1:9">
      <c r="A7" s="12" t="s">
        <v>137</v>
      </c>
      <c r="B7" s="13"/>
      <c r="C7" s="13"/>
      <c r="D7" s="14" t="s">
        <v>138</v>
      </c>
      <c r="E7" s="20"/>
      <c r="F7" s="21" t="s">
        <v>139</v>
      </c>
      <c r="G7" s="22"/>
      <c r="H7" s="8" t="s">
        <v>140</v>
      </c>
      <c r="I7" s="8"/>
    </row>
    <row r="8" s="1" customFormat="1" ht="13" customHeight="1" spans="1:9">
      <c r="A8" s="9" t="s">
        <v>0</v>
      </c>
      <c r="B8" s="10"/>
      <c r="C8" s="10"/>
      <c r="D8" s="18" t="s">
        <v>141</v>
      </c>
      <c r="E8" s="23"/>
      <c r="F8" s="24" t="s">
        <v>142</v>
      </c>
      <c r="G8" s="19"/>
      <c r="H8" s="25"/>
      <c r="I8" s="8"/>
    </row>
    <row r="9" s="1" customFormat="1" ht="13" customHeight="1" spans="1:9">
      <c r="A9" s="12" t="s">
        <v>143</v>
      </c>
      <c r="B9" s="13"/>
      <c r="C9" s="26"/>
      <c r="D9" s="27" t="s">
        <v>144</v>
      </c>
      <c r="E9" s="28"/>
      <c r="F9" s="21" t="s">
        <v>145</v>
      </c>
      <c r="G9" s="15"/>
      <c r="H9" s="29" t="s">
        <v>146</v>
      </c>
      <c r="I9" s="28" t="s">
        <v>147</v>
      </c>
    </row>
    <row r="10" s="1" customFormat="1" ht="13" customHeight="1" spans="1:9">
      <c r="A10" s="16" t="s">
        <v>148</v>
      </c>
      <c r="B10" s="17"/>
      <c r="C10" s="30"/>
      <c r="D10" s="31" t="s">
        <v>149</v>
      </c>
      <c r="E10" s="32"/>
      <c r="F10" s="31" t="s">
        <v>149</v>
      </c>
      <c r="G10" s="33"/>
      <c r="H10" s="32" t="s">
        <v>149</v>
      </c>
      <c r="I10" s="28"/>
    </row>
    <row r="11" s="1" customFormat="1" ht="13" customHeight="1" spans="1:9">
      <c r="A11" s="12" t="s">
        <v>150</v>
      </c>
      <c r="B11" s="34"/>
      <c r="C11" s="35" t="s">
        <v>151</v>
      </c>
      <c r="D11" s="34" t="s">
        <v>152</v>
      </c>
      <c r="E11" s="35" t="s">
        <v>153</v>
      </c>
      <c r="F11" s="26" t="s">
        <v>154</v>
      </c>
      <c r="G11" s="29" t="s">
        <v>155</v>
      </c>
      <c r="H11" s="36" t="s">
        <v>156</v>
      </c>
      <c r="I11" s="36" t="s">
        <v>157</v>
      </c>
    </row>
    <row r="12" s="1" customFormat="1" ht="13" customHeight="1" spans="1:9">
      <c r="A12" s="37" t="s">
        <v>158</v>
      </c>
      <c r="B12" s="38"/>
      <c r="C12" s="30">
        <v>17</v>
      </c>
      <c r="D12" s="38">
        <v>756</v>
      </c>
      <c r="E12" s="30">
        <v>750</v>
      </c>
      <c r="F12" s="39" t="s">
        <v>159</v>
      </c>
      <c r="G12" s="28"/>
      <c r="H12" s="40"/>
      <c r="I12" s="40"/>
    </row>
    <row r="13" s="1" customFormat="1" ht="13" customHeight="1" spans="1:9">
      <c r="A13" s="8" t="s">
        <v>160</v>
      </c>
      <c r="B13" s="8"/>
      <c r="C13" s="8"/>
      <c r="D13" s="8"/>
      <c r="E13" s="8"/>
      <c r="F13" s="8"/>
      <c r="G13" s="8"/>
      <c r="H13" s="8"/>
      <c r="I13" s="8"/>
    </row>
    <row r="14" s="1" customFormat="1" ht="13" customHeight="1" spans="1:9">
      <c r="A14" s="8"/>
      <c r="B14" s="8"/>
      <c r="C14" s="8"/>
      <c r="D14" s="8"/>
      <c r="E14" s="8"/>
      <c r="F14" s="8"/>
      <c r="G14" s="8"/>
      <c r="H14" s="8"/>
      <c r="I14" s="8"/>
    </row>
    <row r="15" s="1" customFormat="1" ht="13" customHeight="1" spans="1:9">
      <c r="A15" s="7" t="s">
        <v>161</v>
      </c>
      <c r="B15" s="7"/>
      <c r="C15" s="7"/>
      <c r="D15" s="7"/>
      <c r="E15" s="7"/>
      <c r="F15" s="7"/>
      <c r="G15" s="7"/>
      <c r="H15" s="7"/>
      <c r="I15" s="7"/>
    </row>
    <row r="16" s="1" customFormat="1" ht="13" customHeight="1" spans="1:9">
      <c r="A16" s="7"/>
      <c r="B16" s="7"/>
      <c r="C16" s="7"/>
      <c r="D16" s="7"/>
      <c r="E16" s="7"/>
      <c r="F16" s="7"/>
      <c r="G16" s="7"/>
      <c r="H16" s="7"/>
      <c r="I16" s="7"/>
    </row>
    <row r="17" s="1" customFormat="1" ht="13" customHeight="1" spans="1:9">
      <c r="A17" s="7"/>
      <c r="B17" s="7"/>
      <c r="C17" s="7"/>
      <c r="D17" s="7"/>
      <c r="E17" s="7"/>
      <c r="F17" s="7"/>
      <c r="G17" s="7"/>
      <c r="H17" s="7"/>
      <c r="I17" s="7"/>
    </row>
    <row r="18" ht="25" customHeight="1" spans="1:9">
      <c r="A18" s="41" t="s">
        <v>162</v>
      </c>
      <c r="B18" s="42" t="s">
        <v>163</v>
      </c>
      <c r="C18" s="42" t="s">
        <v>164</v>
      </c>
      <c r="D18" s="42" t="s">
        <v>165</v>
      </c>
      <c r="E18" s="42" t="s">
        <v>166</v>
      </c>
      <c r="F18" s="42" t="s">
        <v>167</v>
      </c>
      <c r="G18" s="42" t="s">
        <v>168</v>
      </c>
      <c r="H18" s="42" t="s">
        <v>169</v>
      </c>
      <c r="I18" s="43" t="s">
        <v>170</v>
      </c>
    </row>
    <row r="19" spans="1:9">
      <c r="A19" s="44">
        <v>1</v>
      </c>
      <c r="B19" s="45">
        <v>3924900000</v>
      </c>
      <c r="C19" s="46" t="s">
        <v>17</v>
      </c>
      <c r="D19" s="47" t="s">
        <v>171</v>
      </c>
      <c r="E19" s="47">
        <v>3.82</v>
      </c>
      <c r="F19" s="48" t="s">
        <v>172</v>
      </c>
      <c r="G19" s="48" t="s">
        <v>149</v>
      </c>
      <c r="H19" s="46" t="s">
        <v>173</v>
      </c>
      <c r="I19" s="49" t="s">
        <v>174</v>
      </c>
    </row>
    <row r="20" spans="1:9">
      <c r="A20" s="44"/>
      <c r="B20" s="45"/>
      <c r="C20" s="45"/>
      <c r="D20" s="50"/>
      <c r="E20" s="47">
        <v>2081.9</v>
      </c>
      <c r="F20" s="51"/>
      <c r="G20" s="51"/>
      <c r="H20" s="45"/>
      <c r="I20" s="52"/>
    </row>
    <row r="21" spans="1:9">
      <c r="A21" s="44"/>
      <c r="B21" s="45"/>
      <c r="C21" s="45"/>
      <c r="D21" s="53" t="s">
        <v>175</v>
      </c>
      <c r="E21" s="54" t="s">
        <v>176</v>
      </c>
      <c r="F21" s="51"/>
      <c r="G21" s="51"/>
      <c r="H21" s="45"/>
      <c r="I21" s="52"/>
    </row>
    <row r="22" spans="1:9">
      <c r="A22" s="44">
        <v>2</v>
      </c>
      <c r="B22" s="45">
        <v>3924900000</v>
      </c>
      <c r="C22" s="46" t="s">
        <v>17</v>
      </c>
      <c r="D22" s="47" t="s">
        <v>177</v>
      </c>
      <c r="E22" s="47">
        <v>2.75</v>
      </c>
      <c r="F22" s="48" t="s">
        <v>172</v>
      </c>
      <c r="G22" s="48" t="s">
        <v>149</v>
      </c>
      <c r="H22" s="46" t="s">
        <v>173</v>
      </c>
      <c r="I22" s="49" t="s">
        <v>174</v>
      </c>
    </row>
    <row r="23" spans="1:9">
      <c r="A23" s="44"/>
      <c r="B23" s="45"/>
      <c r="C23" s="45"/>
      <c r="D23" s="50"/>
      <c r="E23" s="47">
        <v>9886.25</v>
      </c>
      <c r="F23" s="51"/>
      <c r="G23" s="51"/>
      <c r="H23" s="45"/>
      <c r="I23" s="52"/>
    </row>
    <row r="24" spans="1:9">
      <c r="A24" s="44"/>
      <c r="B24" s="45"/>
      <c r="C24" s="45"/>
      <c r="D24" s="53" t="s">
        <v>178</v>
      </c>
      <c r="E24" s="54" t="s">
        <v>176</v>
      </c>
      <c r="F24" s="51"/>
      <c r="G24" s="51"/>
      <c r="H24" s="45"/>
      <c r="I24" s="52"/>
    </row>
    <row r="25" s="1" customFormat="1" ht="13" customHeight="1" spans="1:9">
      <c r="A25" s="55"/>
      <c r="B25" s="56"/>
      <c r="C25" s="57"/>
      <c r="D25" s="58"/>
      <c r="E25" s="58"/>
      <c r="F25" s="57"/>
      <c r="G25" s="57"/>
      <c r="H25" s="57"/>
      <c r="I25" s="59"/>
    </row>
    <row r="26" s="1" customFormat="1" ht="13" customHeight="1" spans="1:9">
      <c r="A26" s="55"/>
      <c r="B26" s="56"/>
      <c r="C26" s="56"/>
      <c r="D26" s="60"/>
      <c r="E26" s="58"/>
      <c r="F26" s="56"/>
      <c r="G26" s="56"/>
      <c r="H26" s="56"/>
      <c r="I26" s="61"/>
    </row>
    <row r="27" s="1" customFormat="1" ht="13" customHeight="1" spans="1:9">
      <c r="A27" s="55"/>
      <c r="B27" s="56"/>
      <c r="C27" s="56"/>
      <c r="D27" s="62"/>
      <c r="E27" s="63"/>
      <c r="F27" s="56"/>
      <c r="G27" s="56"/>
      <c r="H27" s="56"/>
      <c r="I27" s="61"/>
    </row>
    <row r="28" spans="1:9">
      <c r="A28" s="55"/>
      <c r="B28" s="56"/>
      <c r="C28" s="57"/>
      <c r="D28" s="58"/>
      <c r="E28" s="58"/>
      <c r="F28" s="57"/>
      <c r="G28" s="57"/>
      <c r="H28" s="57"/>
      <c r="I28" s="59"/>
    </row>
    <row r="29" spans="1:9">
      <c r="A29" s="55"/>
      <c r="B29" s="56"/>
      <c r="C29" s="56"/>
      <c r="D29" s="60"/>
      <c r="E29" s="58"/>
      <c r="F29" s="56"/>
      <c r="G29" s="56"/>
      <c r="H29" s="56"/>
      <c r="I29" s="61"/>
    </row>
    <row r="30" spans="1:9">
      <c r="A30" s="55"/>
      <c r="B30" s="56"/>
      <c r="C30" s="56"/>
      <c r="D30" s="62"/>
      <c r="E30" s="63"/>
      <c r="F30" s="56"/>
      <c r="G30" s="56"/>
      <c r="H30" s="56"/>
      <c r="I30" s="61"/>
    </row>
    <row r="31" spans="1:9">
      <c r="A31" s="55"/>
      <c r="B31" s="56"/>
      <c r="C31" s="57"/>
      <c r="D31" s="58"/>
      <c r="E31" s="58"/>
      <c r="F31" s="57"/>
      <c r="G31" s="57"/>
      <c r="H31" s="57"/>
      <c r="I31" s="59"/>
    </row>
    <row r="32" spans="1:9">
      <c r="A32" s="55"/>
      <c r="B32" s="56"/>
      <c r="C32" s="56"/>
      <c r="D32" s="60"/>
      <c r="E32" s="58"/>
      <c r="F32" s="56"/>
      <c r="G32" s="56"/>
      <c r="H32" s="56"/>
      <c r="I32" s="61"/>
    </row>
    <row r="33" spans="1:9">
      <c r="A33" s="55"/>
      <c r="B33" s="56"/>
      <c r="C33" s="56"/>
      <c r="D33" s="62"/>
      <c r="E33" s="63"/>
      <c r="F33" s="56"/>
      <c r="G33" s="56"/>
      <c r="H33" s="56"/>
      <c r="I33" s="61"/>
    </row>
    <row r="34" spans="1:9">
      <c r="A34" s="64" t="s">
        <v>179</v>
      </c>
      <c r="B34" s="65"/>
      <c r="C34" s="65" t="s">
        <v>180</v>
      </c>
      <c r="D34" s="65" t="s">
        <v>181</v>
      </c>
      <c r="E34" s="66" t="s">
        <v>182</v>
      </c>
      <c r="F34" s="66"/>
      <c r="G34" s="67"/>
      <c r="H34" s="65" t="s">
        <v>183</v>
      </c>
      <c r="I34" s="68"/>
    </row>
    <row r="35" spans="1:9">
      <c r="A35" s="64"/>
      <c r="B35" s="65"/>
      <c r="C35" s="65"/>
      <c r="D35" s="65"/>
      <c r="E35" s="69"/>
      <c r="F35" s="69"/>
      <c r="G35" s="70"/>
      <c r="H35" s="65"/>
      <c r="I35" s="68"/>
    </row>
    <row r="36" spans="1:9">
      <c r="A36" s="64"/>
      <c r="B36" s="65"/>
      <c r="C36" s="65"/>
      <c r="D36" s="65"/>
      <c r="E36" s="71"/>
      <c r="F36" s="71"/>
      <c r="G36" s="72"/>
      <c r="H36" s="65"/>
      <c r="I36" s="68"/>
    </row>
    <row r="37" spans="1:9">
      <c r="A37" s="73" t="s">
        <v>184</v>
      </c>
      <c r="B37" s="74"/>
      <c r="C37" s="74"/>
      <c r="D37" s="74"/>
      <c r="E37" s="74" t="s">
        <v>185</v>
      </c>
      <c r="F37" s="74"/>
      <c r="G37" s="74"/>
      <c r="H37" s="74"/>
      <c r="I37" s="75"/>
    </row>
    <row r="38" spans="1:9">
      <c r="A38" s="73"/>
      <c r="B38" s="74"/>
      <c r="C38" s="74"/>
      <c r="D38" s="74"/>
      <c r="E38" s="74"/>
      <c r="F38" s="74"/>
      <c r="G38" s="74"/>
      <c r="H38" s="74"/>
      <c r="I38" s="75"/>
    </row>
    <row r="39" spans="1:9">
      <c r="A39" s="73"/>
      <c r="B39" s="74"/>
      <c r="C39" s="74"/>
      <c r="D39" s="74"/>
      <c r="E39" s="74"/>
      <c r="F39" s="74"/>
      <c r="G39" s="74"/>
      <c r="H39" s="74"/>
      <c r="I39" s="75"/>
    </row>
  </sheetData>
  <mergeCells count="77">
    <mergeCell ref="A1:I1"/>
    <mergeCell ref="A2:I2"/>
    <mergeCell ref="A3:C3"/>
    <mergeCell ref="A4:C4"/>
    <mergeCell ref="A5:C5"/>
    <mergeCell ref="D5:E5"/>
    <mergeCell ref="A6:C6"/>
    <mergeCell ref="D6:E6"/>
    <mergeCell ref="A7:C7"/>
    <mergeCell ref="D7:E7"/>
    <mergeCell ref="F7:G7"/>
    <mergeCell ref="A8:C8"/>
    <mergeCell ref="D8:E8"/>
    <mergeCell ref="F8:G8"/>
    <mergeCell ref="A9:C9"/>
    <mergeCell ref="D9:E9"/>
    <mergeCell ref="F9:G9"/>
    <mergeCell ref="A10:C10"/>
    <mergeCell ref="D10:E10"/>
    <mergeCell ref="F10:G10"/>
    <mergeCell ref="A11:B11"/>
    <mergeCell ref="A12:B12"/>
    <mergeCell ref="A19:A21"/>
    <mergeCell ref="A22:A24"/>
    <mergeCell ref="A25:A27"/>
    <mergeCell ref="A28:A30"/>
    <mergeCell ref="A31:A33"/>
    <mergeCell ref="B19:B21"/>
    <mergeCell ref="B22:B24"/>
    <mergeCell ref="B25:B27"/>
    <mergeCell ref="B28:B30"/>
    <mergeCell ref="B31:B33"/>
    <mergeCell ref="C19:C21"/>
    <mergeCell ref="C22:C24"/>
    <mergeCell ref="C25:C27"/>
    <mergeCell ref="C28:C30"/>
    <mergeCell ref="C31:C33"/>
    <mergeCell ref="C34:C36"/>
    <mergeCell ref="D34:D36"/>
    <mergeCell ref="F19:F21"/>
    <mergeCell ref="F22:F24"/>
    <mergeCell ref="F25:F27"/>
    <mergeCell ref="F28:F30"/>
    <mergeCell ref="F31:F33"/>
    <mergeCell ref="G11:G12"/>
    <mergeCell ref="G19:G21"/>
    <mergeCell ref="G22:G24"/>
    <mergeCell ref="G25:G27"/>
    <mergeCell ref="G28:G30"/>
    <mergeCell ref="G31:G33"/>
    <mergeCell ref="G34:G36"/>
    <mergeCell ref="H3:H4"/>
    <mergeCell ref="H11:H12"/>
    <mergeCell ref="H19:H21"/>
    <mergeCell ref="H22:H24"/>
    <mergeCell ref="H25:H27"/>
    <mergeCell ref="H28:H30"/>
    <mergeCell ref="H31:H33"/>
    <mergeCell ref="I3:I4"/>
    <mergeCell ref="I11:I12"/>
    <mergeCell ref="I19:I21"/>
    <mergeCell ref="I22:I24"/>
    <mergeCell ref="I25:I27"/>
    <mergeCell ref="I28:I30"/>
    <mergeCell ref="I31:I33"/>
    <mergeCell ref="A13:I14"/>
    <mergeCell ref="A15:I17"/>
    <mergeCell ref="A37:D39"/>
    <mergeCell ref="E37:I39"/>
    <mergeCell ref="A34:B36"/>
    <mergeCell ref="E34:F36"/>
    <mergeCell ref="H34:I36"/>
    <mergeCell ref="D3:E4"/>
    <mergeCell ref="F3:G4"/>
    <mergeCell ref="F5:G6"/>
    <mergeCell ref="H5:I6"/>
    <mergeCell ref="H7:I8"/>
  </mergeCells>
  <pageMargins left="0.75" right="0.75" top="1" bottom="1" header="0.5" footer="0.5"/>
  <pageSetup paperSize="9" orientation="portrait"/>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合同和出库单</vt:lpstr>
      <vt:lpstr>PI单</vt:lpstr>
      <vt:lpstr>报关单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ASUS</dc:creator>
  <cp:lastModifiedBy>婗好</cp:lastModifiedBy>
  <dcterms:created xsi:type="dcterms:W3CDTF">2026-05-29T07:40:00Z</dcterms:created>
  <dcterms:modified xsi:type="dcterms:W3CDTF">2026-08-13T11:15:16Z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9B9976478A8E46409D1ABE75A82F3E1B_11</vt:lpwstr>
  </property>
  <property fmtid="{D5CDD505-2E9C-101B-9397-08002B2CF9AE}" pid="3" name="KSOProductBuildVer">
    <vt:lpwstr>2052-12.1.0.28043</vt:lpwstr>
  </property>
  <property fmtid="{D5CDD505-2E9C-101B-9397-08002B2CF9AE}" pid="4" name="CalculationRule">
    <vt:i4>1</vt:i4>
  </property>
</Properties>
</file>